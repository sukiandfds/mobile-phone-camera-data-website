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项目\手机传感器等效光圈大小\phone-camera-aperture\data\"/>
    </mc:Choice>
  </mc:AlternateContent>
  <xr:revisionPtr revIDLastSave="0" documentId="13_ncr:1_{C74FEEE3-246F-42AE-A34B-AB934B09A2A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小米机型" sheetId="7" r:id="rId1"/>
    <sheet name="VIVO机型" sheetId="15" r:id="rId2"/>
    <sheet name="OPPO机型" sheetId="16" r:id="rId3"/>
    <sheet name="苹果机型" sheetId="10" r:id="rId4"/>
    <sheet name="三星机型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" i="11" l="1"/>
  <c r="AJ5" i="11" s="1"/>
  <c r="Z5" i="11"/>
  <c r="AB5" i="11" s="1"/>
  <c r="R5" i="11"/>
  <c r="T5" i="11" s="1"/>
  <c r="J5" i="11"/>
  <c r="L5" i="11" s="1"/>
  <c r="Z4" i="11"/>
  <c r="AB4" i="11" s="1"/>
  <c r="R4" i="11"/>
  <c r="T4" i="11" s="1"/>
  <c r="J4" i="11"/>
  <c r="L4" i="11" s="1"/>
  <c r="AH3" i="11"/>
  <c r="AJ3" i="11" s="1"/>
  <c r="Z3" i="11"/>
  <c r="AB3" i="11" s="1"/>
  <c r="R3" i="11"/>
  <c r="T3" i="11" s="1"/>
  <c r="J3" i="11"/>
  <c r="L3" i="11" s="1"/>
  <c r="AH6" i="10"/>
  <c r="AJ6" i="10" s="1"/>
  <c r="Z6" i="10"/>
  <c r="AB6" i="10" s="1"/>
  <c r="R6" i="10"/>
  <c r="T6" i="10" s="1"/>
  <c r="J6" i="10"/>
  <c r="L6" i="10" s="1"/>
  <c r="Z5" i="10"/>
  <c r="AB5" i="10" s="1"/>
  <c r="R5" i="10"/>
  <c r="T5" i="10" s="1"/>
  <c r="J5" i="10"/>
  <c r="L5" i="10" s="1"/>
  <c r="AH4" i="10"/>
  <c r="AJ4" i="10" s="1"/>
  <c r="Z4" i="10"/>
  <c r="AB4" i="10" s="1"/>
  <c r="R4" i="10"/>
  <c r="T4" i="10" s="1"/>
  <c r="J4" i="10"/>
  <c r="L4" i="10" s="1"/>
  <c r="Z3" i="10"/>
  <c r="AB3" i="10" s="1"/>
  <c r="R3" i="10"/>
  <c r="T3" i="10" s="1"/>
  <c r="J3" i="10"/>
  <c r="L3" i="10" s="1"/>
  <c r="AH6" i="16"/>
  <c r="AJ6" i="16" s="1"/>
  <c r="AH4" i="16"/>
  <c r="AJ4" i="16" s="1"/>
  <c r="J3" i="16"/>
  <c r="L3" i="16" s="1"/>
  <c r="Z6" i="16"/>
  <c r="AB6" i="16" s="1"/>
  <c r="R6" i="16"/>
  <c r="T6" i="16" s="1"/>
  <c r="J6" i="16"/>
  <c r="L6" i="16" s="1"/>
  <c r="Z5" i="16"/>
  <c r="AB5" i="16" s="1"/>
  <c r="R5" i="16"/>
  <c r="T5" i="16" s="1"/>
  <c r="J5" i="16"/>
  <c r="L5" i="16" s="1"/>
  <c r="Z4" i="16"/>
  <c r="AB4" i="16" s="1"/>
  <c r="R4" i="16"/>
  <c r="T4" i="16" s="1"/>
  <c r="J4" i="16"/>
  <c r="L4" i="16" s="1"/>
  <c r="Z3" i="16"/>
  <c r="AB3" i="16" s="1"/>
  <c r="R3" i="16"/>
  <c r="T3" i="16" s="1"/>
  <c r="AJ4" i="15"/>
  <c r="AB4" i="15"/>
  <c r="AB3" i="15"/>
  <c r="T5" i="15"/>
  <c r="T4" i="15"/>
  <c r="T3" i="15"/>
  <c r="L5" i="15"/>
  <c r="Z8" i="15"/>
  <c r="AB8" i="15" s="1"/>
  <c r="R8" i="15"/>
  <c r="T8" i="15" s="1"/>
  <c r="J8" i="15"/>
  <c r="L8" i="15" s="1"/>
  <c r="Z7" i="15"/>
  <c r="AB7" i="15" s="1"/>
  <c r="R7" i="15"/>
  <c r="T7" i="15" s="1"/>
  <c r="J7" i="15"/>
  <c r="L7" i="15" s="1"/>
  <c r="Z6" i="15"/>
  <c r="AB6" i="15" s="1"/>
  <c r="R6" i="15"/>
  <c r="T6" i="15" s="1"/>
  <c r="J6" i="15"/>
  <c r="L6" i="15" s="1"/>
  <c r="AH5" i="15"/>
  <c r="AJ5" i="15" s="1"/>
  <c r="R5" i="15"/>
  <c r="J5" i="15"/>
  <c r="AH4" i="15"/>
  <c r="Z4" i="15"/>
  <c r="R4" i="15"/>
  <c r="J4" i="15"/>
  <c r="L4" i="15" s="1"/>
  <c r="Z3" i="15"/>
  <c r="R3" i="15"/>
  <c r="J3" i="15"/>
  <c r="L3" i="15" s="1"/>
  <c r="AJ5" i="7"/>
  <c r="AJ4" i="7"/>
  <c r="AJ3" i="7"/>
  <c r="R3" i="7"/>
  <c r="AB4" i="7"/>
  <c r="AH4" i="7"/>
  <c r="AH5" i="7"/>
  <c r="AH3" i="7"/>
  <c r="Z4" i="7"/>
  <c r="X4" i="7" s="1"/>
  <c r="Z5" i="7"/>
  <c r="Z3" i="7"/>
  <c r="R4" i="7"/>
  <c r="P4" i="7" s="1"/>
  <c r="R5" i="7"/>
  <c r="P5" i="7" s="1"/>
  <c r="J4" i="7"/>
  <c r="H4" i="7" s="1"/>
  <c r="J5" i="7"/>
  <c r="H5" i="7" s="1"/>
  <c r="J3" i="7"/>
  <c r="AB3" i="7" l="1"/>
  <c r="L5" i="7"/>
  <c r="L4" i="7"/>
  <c r="T4" i="7"/>
  <c r="T5" i="7"/>
  <c r="H3" i="7"/>
  <c r="L3" i="7" s="1"/>
  <c r="AF5" i="7"/>
  <c r="AF4" i="7"/>
  <c r="AF3" i="7"/>
  <c r="X3" i="7"/>
  <c r="X5" i="7"/>
  <c r="AB5" i="7" s="1"/>
  <c r="P3" i="7"/>
  <c r="T3" i="7" s="1"/>
</calcChain>
</file>

<file path=xl/sharedStrings.xml><?xml version="1.0" encoding="utf-8"?>
<sst xmlns="http://schemas.openxmlformats.org/spreadsheetml/2006/main" count="445" uniqueCount="114">
  <si>
    <t>名称</t>
    <phoneticPr fontId="1" type="noConversion"/>
  </si>
  <si>
    <t>小米13ultra</t>
    <phoneticPr fontId="1" type="noConversion"/>
  </si>
  <si>
    <t>超广角传感器型号</t>
    <phoneticPr fontId="1" type="noConversion"/>
  </si>
  <si>
    <t>主摄传感器型号</t>
  </si>
  <si>
    <t>长焦传感器型号</t>
  </si>
  <si>
    <t>超长焦传感器型号</t>
  </si>
  <si>
    <t>1/2.51</t>
    <phoneticPr fontId="1" type="noConversion"/>
  </si>
  <si>
    <t>Sony IMX858</t>
    <phoneticPr fontId="1" type="noConversion"/>
  </si>
  <si>
    <t>超广角传感器尺寸（英寸）</t>
  </si>
  <si>
    <t>主摄传感器尺寸（英寸）</t>
  </si>
  <si>
    <t>长焦传感器尺寸（英寸）</t>
  </si>
  <si>
    <t>超长焦传感器尺寸（英寸）</t>
  </si>
  <si>
    <t>超广角物理焦距（mm）</t>
  </si>
  <si>
    <t>主摄物理焦距（mm）</t>
  </si>
  <si>
    <t>主摄等效焦距（mm）</t>
  </si>
  <si>
    <t>长焦物理焦距（mm）</t>
  </si>
  <si>
    <t>长焦等效焦距（mm）</t>
  </si>
  <si>
    <t>超长焦物理焦距（mm）</t>
  </si>
  <si>
    <t>超长焦等效焦距（mm）</t>
  </si>
  <si>
    <t>超广角光圈（F）</t>
  </si>
  <si>
    <t>主摄光圈（F）</t>
  </si>
  <si>
    <t>长焦光圈（F）</t>
  </si>
  <si>
    <t>超长焦光圈（F）</t>
  </si>
  <si>
    <t>超广角等效焦距（mm）</t>
    <phoneticPr fontId="1" type="noConversion"/>
  </si>
  <si>
    <t>超广角转换系数</t>
    <phoneticPr fontId="1" type="noConversion"/>
  </si>
  <si>
    <t>主摄转换系数</t>
  </si>
  <si>
    <t>超广角等效光圈（F）</t>
    <phoneticPr fontId="1" type="noConversion"/>
  </si>
  <si>
    <t>主摄等效光圈（F）</t>
  </si>
  <si>
    <t>长焦转换系数</t>
  </si>
  <si>
    <t>长焦等效光圈（F）</t>
  </si>
  <si>
    <t>超长焦转换系数</t>
  </si>
  <si>
    <t>超长焦等效光圈（F）</t>
  </si>
  <si>
    <t>发布日期</t>
    <phoneticPr fontId="1" type="noConversion"/>
  </si>
  <si>
    <t>级别</t>
    <phoneticPr fontId="1" type="noConversion"/>
  </si>
  <si>
    <t>Sony IMX989</t>
    <phoneticPr fontId="1" type="noConversion"/>
  </si>
  <si>
    <t>1/0.98</t>
    <phoneticPr fontId="1" type="noConversion"/>
  </si>
  <si>
    <t>ultra</t>
    <phoneticPr fontId="1" type="noConversion"/>
  </si>
  <si>
    <t>2023年4月18日</t>
    <phoneticPr fontId="1" type="noConversion"/>
  </si>
  <si>
    <t>小米14ultra</t>
  </si>
  <si>
    <t>Sony LYT-900</t>
    <phoneticPr fontId="1" type="noConversion"/>
  </si>
  <si>
    <t>1/1.4</t>
    <phoneticPr fontId="1" type="noConversion"/>
  </si>
  <si>
    <t>f/3.0</t>
    <phoneticPr fontId="1" type="noConversion"/>
  </si>
  <si>
    <t>f/2.6</t>
    <phoneticPr fontId="1" type="noConversion"/>
  </si>
  <si>
    <t>1/2.76</t>
    <phoneticPr fontId="1" type="noConversion"/>
  </si>
  <si>
    <t>Samsung S5KJN5</t>
    <phoneticPr fontId="1" type="noConversion"/>
  </si>
  <si>
    <t>Samsung S5KHP9</t>
    <phoneticPr fontId="1" type="noConversion"/>
  </si>
  <si>
    <t>f/2.5</t>
    <phoneticPr fontId="1" type="noConversion"/>
  </si>
  <si>
    <t>2024 年 2 月 22 日</t>
    <phoneticPr fontId="1" type="noConversion"/>
  </si>
  <si>
    <t>2025 年 2 月 27 日</t>
    <phoneticPr fontId="1" type="noConversion"/>
  </si>
  <si>
    <t>iPhone15pro</t>
    <phoneticPr fontId="1" type="noConversion"/>
  </si>
  <si>
    <t>小米15ultra</t>
    <phoneticPr fontId="1" type="noConversion"/>
  </si>
  <si>
    <t>pro</t>
    <phoneticPr fontId="1" type="noConversion"/>
  </si>
  <si>
    <t>Sony IMX890</t>
    <phoneticPr fontId="1" type="noConversion"/>
  </si>
  <si>
    <t>f/1.8</t>
    <phoneticPr fontId="1" type="noConversion"/>
  </si>
  <si>
    <t>f/2.2</t>
    <phoneticPr fontId="1" type="noConversion"/>
  </si>
  <si>
    <t>1/1.56</t>
    <phoneticPr fontId="1" type="noConversion"/>
  </si>
  <si>
    <t>超广角等效焦距（计算）（mm）</t>
    <phoneticPr fontId="1" type="noConversion"/>
  </si>
  <si>
    <t>主摄等效焦距
（计算）</t>
    <phoneticPr fontId="1" type="noConversion"/>
  </si>
  <si>
    <t>f/1.9</t>
    <phoneticPr fontId="1" type="noConversion"/>
  </si>
  <si>
    <t>f/1.63</t>
    <phoneticPr fontId="1" type="noConversion"/>
  </si>
  <si>
    <t>长焦等效焦距
（计算）</t>
    <phoneticPr fontId="1" type="noConversion"/>
  </si>
  <si>
    <t>超长焦等效焦距（计算）</t>
    <phoneticPr fontId="1" type="noConversion"/>
  </si>
  <si>
    <t>2022 年 12 月 6 日</t>
  </si>
  <si>
    <t>2023 年 11 月 21 日</t>
  </si>
  <si>
    <t>2024 年 5 月 28 日</t>
  </si>
  <si>
    <t>2024 年 10 月 19 日</t>
  </si>
  <si>
    <t>2025 年 4 月 29 日</t>
    <phoneticPr fontId="1" type="noConversion"/>
  </si>
  <si>
    <t>vivo X90 Pro</t>
    <phoneticPr fontId="1" type="noConversion"/>
  </si>
  <si>
    <t>vivo X90 Pro+</t>
    <phoneticPr fontId="1" type="noConversion"/>
  </si>
  <si>
    <t>vivo X100 Pro</t>
    <phoneticPr fontId="1" type="noConversion"/>
  </si>
  <si>
    <t>vivo X100 Ultra</t>
    <phoneticPr fontId="1" type="noConversion"/>
  </si>
  <si>
    <t>vivo X200 Ultra</t>
    <phoneticPr fontId="1" type="noConversion"/>
  </si>
  <si>
    <t>vivo X200 Pro</t>
    <phoneticPr fontId="1" type="noConversion"/>
  </si>
  <si>
    <t>Sony IMX663</t>
    <phoneticPr fontId="1" type="noConversion"/>
  </si>
  <si>
    <t>1/2.93</t>
  </si>
  <si>
    <t>f/2.0</t>
  </si>
  <si>
    <t>f/1.75</t>
    <phoneticPr fontId="1" type="noConversion"/>
  </si>
  <si>
    <t>Sony IMX758</t>
    <phoneticPr fontId="1" type="noConversion"/>
  </si>
  <si>
    <t>f/1.6</t>
  </si>
  <si>
    <t>Sony IMX598</t>
  </si>
  <si>
    <t>1/2.0</t>
    <phoneticPr fontId="1" type="noConversion"/>
  </si>
  <si>
    <t>OV64B</t>
    <phoneticPr fontId="1" type="noConversion"/>
  </si>
  <si>
    <t>f/3.5</t>
    <phoneticPr fontId="1" type="noConversion"/>
  </si>
  <si>
    <t>Samsung S5KJN1</t>
    <phoneticPr fontId="1" type="noConversion"/>
  </si>
  <si>
    <t>f/2.0</t>
    <phoneticPr fontId="1" type="noConversion"/>
  </si>
  <si>
    <t>Sony LYT-600</t>
  </si>
  <si>
    <t>1/1.95</t>
    <phoneticPr fontId="1" type="noConversion"/>
  </si>
  <si>
    <t>Samsung HP9</t>
    <phoneticPr fontId="1" type="noConversion"/>
  </si>
  <si>
    <t>f/2.67</t>
    <phoneticPr fontId="1" type="noConversion"/>
  </si>
  <si>
    <t>Sony LYT-818</t>
  </si>
  <si>
    <t>1/1.28</t>
    <phoneticPr fontId="1" type="noConversion"/>
  </si>
  <si>
    <t>f/1.57</t>
    <phoneticPr fontId="1" type="noConversion"/>
  </si>
  <si>
    <t>Sony IMX882</t>
  </si>
  <si>
    <t>f/1.69</t>
    <phoneticPr fontId="1" type="noConversion"/>
  </si>
  <si>
    <t>f/2.27</t>
    <phoneticPr fontId="1" type="noConversion"/>
  </si>
  <si>
    <t>OPPO Find X6 Pro</t>
    <phoneticPr fontId="1" type="noConversion"/>
  </si>
  <si>
    <t>OPPO Find X7 Ultra</t>
    <phoneticPr fontId="1" type="noConversion"/>
  </si>
  <si>
    <t>OPPO Find X8 Pro</t>
    <phoneticPr fontId="1" type="noConversion"/>
  </si>
  <si>
    <t>OPPO Find X8 Ultra</t>
    <phoneticPr fontId="1" type="noConversion"/>
  </si>
  <si>
    <t>f/1.95</t>
    <phoneticPr fontId="1" type="noConversion"/>
  </si>
  <si>
    <t>f/4.3</t>
    <phoneticPr fontId="1" type="noConversion"/>
  </si>
  <si>
    <t>Sony LYT-700</t>
    <phoneticPr fontId="1" type="noConversion"/>
  </si>
  <si>
    <t>1/2.75</t>
    <phoneticPr fontId="1" type="noConversion"/>
  </si>
  <si>
    <t>f/3.2</t>
    <phoneticPr fontId="1" type="noConversion"/>
  </si>
  <si>
    <t>iPhone16pro(max)</t>
    <phoneticPr fontId="1" type="noConversion"/>
  </si>
  <si>
    <t>iPhone15pro max</t>
    <phoneticPr fontId="1" type="noConversion"/>
  </si>
  <si>
    <t>iPhone14pro max</t>
    <phoneticPr fontId="1" type="noConversion"/>
  </si>
  <si>
    <t>S25 Ultra</t>
    <phoneticPr fontId="1" type="noConversion"/>
  </si>
  <si>
    <t>S23 Ultra</t>
    <phoneticPr fontId="1" type="noConversion"/>
  </si>
  <si>
    <t>S24 Ultra</t>
    <phoneticPr fontId="1" type="noConversion"/>
  </si>
  <si>
    <t>2025年4月16日</t>
  </si>
  <si>
    <t>2023年3月24日</t>
  </si>
  <si>
    <t>2024年1月12日</t>
  </si>
  <si>
    <t>2024年10月24日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</si>
</sst>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31" fontId="0" fillId="0" borderId="0" xfId="0" applyNumberFormat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BE2DB-5AED-4766-823F-4BB84DB020B4}">
  <dimension ref="B2:AJ5"/>
  <sheetViews>
    <sheetView tabSelected="1" topLeftCell="G1" zoomScale="75" workbookViewId="0">
      <selection activeCell="AB18" sqref="AB18"/>
    </sheetView>
  </sheetViews>
  <sheetFormatPr defaultColWidth="5.58203125" defaultRowHeight="14" x14ac:dyDescent="0.3"/>
  <cols>
    <col min="1" max="1" width="5.58203125" style="1"/>
    <col min="2" max="2" width="8.58203125" style="1" customWidth="1"/>
    <col min="3" max="3" width="13.1640625" style="1" customWidth="1"/>
    <col min="4" max="36" width="8.58203125" style="1" customWidth="1"/>
    <col min="37" max="16384" width="5.58203125" style="1"/>
  </cols>
  <sheetData>
    <row r="2" spans="2:36" ht="56" x14ac:dyDescent="0.3">
      <c r="B2" s="1" t="s">
        <v>0</v>
      </c>
      <c r="C2" s="1" t="s">
        <v>32</v>
      </c>
      <c r="D2" s="1" t="s">
        <v>33</v>
      </c>
      <c r="E2" s="1" t="s">
        <v>2</v>
      </c>
      <c r="F2" s="1" t="s">
        <v>8</v>
      </c>
      <c r="G2" s="1" t="s">
        <v>23</v>
      </c>
      <c r="H2" s="1" t="s">
        <v>56</v>
      </c>
      <c r="I2" s="1" t="s">
        <v>19</v>
      </c>
      <c r="J2" s="1" t="s">
        <v>24</v>
      </c>
      <c r="K2" s="1" t="s">
        <v>12</v>
      </c>
      <c r="L2" s="1" t="s">
        <v>26</v>
      </c>
      <c r="M2" s="1" t="s">
        <v>3</v>
      </c>
      <c r="N2" s="1" t="s">
        <v>9</v>
      </c>
      <c r="O2" s="1" t="s">
        <v>14</v>
      </c>
      <c r="P2" s="1" t="s">
        <v>57</v>
      </c>
      <c r="Q2" s="1" t="s">
        <v>20</v>
      </c>
      <c r="R2" s="1" t="s">
        <v>25</v>
      </c>
      <c r="S2" s="1" t="s">
        <v>13</v>
      </c>
      <c r="T2" s="1" t="s">
        <v>27</v>
      </c>
      <c r="U2" s="1" t="s">
        <v>4</v>
      </c>
      <c r="V2" s="1" t="s">
        <v>10</v>
      </c>
      <c r="W2" s="1" t="s">
        <v>16</v>
      </c>
      <c r="X2" s="1" t="s">
        <v>60</v>
      </c>
      <c r="Y2" s="1" t="s">
        <v>21</v>
      </c>
      <c r="Z2" s="1" t="s">
        <v>28</v>
      </c>
      <c r="AA2" s="1" t="s">
        <v>15</v>
      </c>
      <c r="AB2" s="1" t="s">
        <v>29</v>
      </c>
      <c r="AC2" s="1" t="s">
        <v>5</v>
      </c>
      <c r="AD2" s="1" t="s">
        <v>11</v>
      </c>
      <c r="AE2" s="1" t="s">
        <v>18</v>
      </c>
      <c r="AF2" s="1" t="s">
        <v>61</v>
      </c>
      <c r="AG2" s="1" t="s">
        <v>22</v>
      </c>
      <c r="AH2" s="1" t="s">
        <v>30</v>
      </c>
      <c r="AI2" s="1" t="s">
        <v>17</v>
      </c>
      <c r="AJ2" s="1" t="s">
        <v>31</v>
      </c>
    </row>
    <row r="3" spans="2:36" ht="28" x14ac:dyDescent="0.3">
      <c r="B3" s="1" t="s">
        <v>1</v>
      </c>
      <c r="C3" s="2" t="s">
        <v>37</v>
      </c>
      <c r="D3" s="1" t="s">
        <v>36</v>
      </c>
      <c r="E3" s="1" t="s">
        <v>7</v>
      </c>
      <c r="F3" s="1" t="s">
        <v>6</v>
      </c>
      <c r="G3" s="3">
        <v>12</v>
      </c>
      <c r="H3" s="1">
        <f>J3*K3</f>
        <v>12.247572609999997</v>
      </c>
      <c r="I3" s="1" t="s">
        <v>53</v>
      </c>
      <c r="J3" s="1">
        <f>IFERROR(
    43.2666 * VALUE(MID(F3, FIND("/", F3) + 1, LEN(F3) - FIND("/", F3))) /
    IF(VALUE(MID(F3, FIND("/", F3) + 1, LEN(F3) - FIND("/", F3))) &lt;= 2, 16, 18),
    "无效传感器尺寸"
)</f>
        <v>6.0332869999999987</v>
      </c>
      <c r="K3" s="1">
        <v>2.0299999999999998</v>
      </c>
      <c r="L3" s="1" t="str">
        <f>"f/" &amp; TEXT(VALUE(SUBSTITUTE(I3,"f/","")) * J3 * (G3/H3), "0.0")</f>
        <v>f/10.6</v>
      </c>
      <c r="M3" s="1" t="s">
        <v>34</v>
      </c>
      <c r="N3" s="1" t="s">
        <v>35</v>
      </c>
      <c r="O3" s="3">
        <v>23</v>
      </c>
      <c r="P3" s="1">
        <f>R3*S3</f>
        <v>23.055689474999994</v>
      </c>
      <c r="Q3" s="1" t="s">
        <v>58</v>
      </c>
      <c r="R3" s="1">
        <f>IFERROR(
    43.2666 * VALUE(MID(N3, FIND("/", N3) + 1, LEN(N3) - FIND("/", N3))) /
    IF(VALUE(MID(N3, FIND("/", N3) + 1, LEN(N3) - FIND("/", N3))) &lt;= 2, 16, 18),
    "无效传感器尺寸"
)</f>
        <v>2.6500792499999997</v>
      </c>
      <c r="S3" s="1">
        <v>8.6999999999999993</v>
      </c>
      <c r="T3" s="1" t="str">
        <f>"f/" &amp; TEXT(VALUE(SUBSTITUTE(Q3,"f/","")) * R3 * (O3/P3), "0.0")</f>
        <v>f/5.0</v>
      </c>
      <c r="U3" s="1" t="s">
        <v>7</v>
      </c>
      <c r="V3" s="1" t="s">
        <v>6</v>
      </c>
      <c r="W3" s="3">
        <v>60</v>
      </c>
      <c r="X3" s="3">
        <f>Z3*AA3</f>
        <v>59.548542689999984</v>
      </c>
      <c r="Y3" s="1" t="s">
        <v>53</v>
      </c>
      <c r="Z3" s="1">
        <f>IFERROR(
    43.2666 * VALUE(MID(V3, FIND("/", V3) + 1, LEN(V3) - FIND("/", V3))) /
    IF(VALUE(MID(V3, FIND("/", V3) + 1, LEN(V3) - FIND("/", V3))) &lt;= 2, 16, 18),
    "无效传感器尺寸"
)</f>
        <v>6.0332869999999987</v>
      </c>
      <c r="AA3" s="1">
        <v>9.8699999999999992</v>
      </c>
      <c r="AB3" s="1" t="str">
        <f>"f/" &amp; TEXT(VALUE(SUBSTITUTE(Y3,"f/","")) * Z3 * (W3/X3), "0.0")</f>
        <v>f/10.9</v>
      </c>
      <c r="AC3" s="1" t="s">
        <v>7</v>
      </c>
      <c r="AD3" s="1" t="s">
        <v>6</v>
      </c>
      <c r="AE3" s="3">
        <v>120</v>
      </c>
      <c r="AF3" s="3">
        <f>AH3*AI3</f>
        <v>117.04576779999996</v>
      </c>
      <c r="AG3" s="1" t="s">
        <v>41</v>
      </c>
      <c r="AH3" s="1">
        <f>IFERROR(
    43.2666 * VALUE(MID(AD3, FIND("/", AD3) + 1, LEN(AD3) - FIND("/", AD3))) /
    IF(VALUE(MID(AD3, FIND("/", AD3) + 1, LEN(AD3) - FIND("/", AD3))) &lt;= 2, 16, 18),
    "无效传感器尺寸"
)</f>
        <v>6.0332869999999987</v>
      </c>
      <c r="AI3" s="1">
        <v>19.399999999999999</v>
      </c>
      <c r="AJ3" s="1" t="str">
        <f>"f/" &amp; TEXT(VALUE(SUBSTITUTE(AG3,"f/","")) * AH3 * (AE3/AF3), "0.0")</f>
        <v>f/18.6</v>
      </c>
    </row>
    <row r="4" spans="2:36" ht="28" x14ac:dyDescent="0.3">
      <c r="B4" s="1" t="s">
        <v>38</v>
      </c>
      <c r="C4" s="2" t="s">
        <v>47</v>
      </c>
      <c r="D4" s="1" t="s">
        <v>36</v>
      </c>
      <c r="E4" s="1" t="s">
        <v>7</v>
      </c>
      <c r="F4" s="1" t="s">
        <v>6</v>
      </c>
      <c r="G4" s="3">
        <v>12</v>
      </c>
      <c r="H4" s="1">
        <f>J4*K4</f>
        <v>12.247572609999997</v>
      </c>
      <c r="I4" s="1" t="s">
        <v>53</v>
      </c>
      <c r="J4" s="1">
        <f>IFERROR(
    43.2666 * VALUE(MID(F4, FIND("/", F4) + 1, LEN(F4) - FIND("/", F4))) /
    IF(VALUE(MID(F4, FIND("/", F4) + 1, LEN(F4) - FIND("/", F4))) &lt;= 2, 16, 18),
    "无效传感器尺寸"
)</f>
        <v>6.0332869999999987</v>
      </c>
      <c r="K4" s="1">
        <v>2.0299999999999998</v>
      </c>
      <c r="L4" s="1" t="str">
        <f t="shared" ref="L4:L5" si="0">"f/" &amp; TEXT(VALUE(SUBSTITUTE(I4,"f/","")) * J4 * (G4/H4), "0.0")</f>
        <v>f/10.6</v>
      </c>
      <c r="M4" s="1" t="s">
        <v>39</v>
      </c>
      <c r="N4" s="1" t="s">
        <v>35</v>
      </c>
      <c r="O4" s="3">
        <v>23</v>
      </c>
      <c r="P4" s="1">
        <f t="shared" ref="P4:P5" si="1">R4*S4</f>
        <v>23.055689474999994</v>
      </c>
      <c r="Q4" s="1" t="s">
        <v>59</v>
      </c>
      <c r="R4" s="1">
        <f t="shared" ref="R4:R5" si="2">IFERROR(
    43.2666 * VALUE(MID(N4, FIND("/", N4) + 1, LEN(N4) - FIND("/", N4))) /
    IF(VALUE(MID(N4, FIND("/", N4) + 1, LEN(N4) - FIND("/", N4))) &lt;= 2, 16, 18),
    "无效传感器尺寸"
)</f>
        <v>2.6500792499999997</v>
      </c>
      <c r="S4" s="1">
        <v>8.6999999999999993</v>
      </c>
      <c r="T4" s="1" t="str">
        <f t="shared" ref="T4:T5" si="3">"f/" &amp; TEXT(VALUE(SUBSTITUTE(Q4,"f/","")) * R4 * (O4/P4), "0.0")</f>
        <v>f/4.3</v>
      </c>
      <c r="U4" s="1" t="s">
        <v>7</v>
      </c>
      <c r="V4" s="1" t="s">
        <v>6</v>
      </c>
      <c r="W4" s="3">
        <v>75</v>
      </c>
      <c r="X4" s="3">
        <f t="shared" ref="X4:X5" si="4">Z4*AA4</f>
        <v>72.158112519999989</v>
      </c>
      <c r="Y4" s="1" t="s">
        <v>53</v>
      </c>
      <c r="Z4" s="1">
        <f t="shared" ref="Z4:Z5" si="5">IFERROR(
    43.2666 * VALUE(MID(V4, FIND("/", V4) + 1, LEN(V4) - FIND("/", V4))) /
    IF(VALUE(MID(V4, FIND("/", V4) + 1, LEN(V4) - FIND("/", V4))) &lt;= 2, 16, 18),
    "无效传感器尺寸"
)</f>
        <v>6.0332869999999987</v>
      </c>
      <c r="AA4" s="1">
        <v>11.96</v>
      </c>
      <c r="AB4" s="1" t="str">
        <f t="shared" ref="AB4:AB5" si="6">"f/" &amp; TEXT(VALUE(SUBSTITUTE(Y4,"f/","")) * Z4 * (W4/X4), "0.0")</f>
        <v>f/11.3</v>
      </c>
      <c r="AC4" s="1" t="s">
        <v>7</v>
      </c>
      <c r="AD4" s="1" t="s">
        <v>6</v>
      </c>
      <c r="AE4" s="3">
        <v>120</v>
      </c>
      <c r="AF4" s="3">
        <f t="shared" ref="AF4:AF5" si="7">AH4*AI4</f>
        <v>117.04576779999996</v>
      </c>
      <c r="AG4" s="1" t="s">
        <v>46</v>
      </c>
      <c r="AH4" s="1">
        <f t="shared" ref="AH4:AH5" si="8">IFERROR(
    43.2666 * VALUE(MID(AD4, FIND("/", AD4) + 1, LEN(AD4) - FIND("/", AD4))) /
    IF(VALUE(MID(AD4, FIND("/", AD4) + 1, LEN(AD4) - FIND("/", AD4))) &lt;= 2, 16, 18),
    "无效传感器尺寸"
)</f>
        <v>6.0332869999999987</v>
      </c>
      <c r="AI4" s="1">
        <v>19.399999999999999</v>
      </c>
      <c r="AJ4" s="1" t="str">
        <f t="shared" ref="AJ4:AJ5" si="9">"f/" &amp; TEXT(VALUE(SUBSTITUTE(AG4,"f/","")) * AH4 * (AE4/AF4), "0.0")</f>
        <v>f/15.5</v>
      </c>
    </row>
    <row r="5" spans="2:36" ht="28" x14ac:dyDescent="0.3">
      <c r="B5" s="1" t="s">
        <v>50</v>
      </c>
      <c r="C5" s="2" t="s">
        <v>48</v>
      </c>
      <c r="D5" s="1" t="s">
        <v>36</v>
      </c>
      <c r="E5" s="1" t="s">
        <v>44</v>
      </c>
      <c r="F5" s="1" t="s">
        <v>102</v>
      </c>
      <c r="G5" s="3">
        <v>14</v>
      </c>
      <c r="H5" s="1">
        <f>J5*K5</f>
        <v>14.079672749999999</v>
      </c>
      <c r="I5" s="1" t="s">
        <v>54</v>
      </c>
      <c r="J5" s="1">
        <f>IFERROR(
    43.2666 * VALUE(MID(F5, FIND("/", F5) + 1, LEN(F5) - FIND("/", F5))) /
    IF(VALUE(MID(F5, FIND("/", F5) + 1, LEN(F5) - FIND("/", F5))) &lt;= 2, 16, 18),
    "无效传感器尺寸"
)</f>
        <v>6.6101749999999999</v>
      </c>
      <c r="K5" s="1">
        <v>2.13</v>
      </c>
      <c r="L5" s="1" t="str">
        <f t="shared" si="0"/>
        <v>f/14.5</v>
      </c>
      <c r="M5" s="1" t="s">
        <v>39</v>
      </c>
      <c r="N5" s="1" t="s">
        <v>35</v>
      </c>
      <c r="O5" s="3">
        <v>23</v>
      </c>
      <c r="P5" s="1">
        <f t="shared" si="1"/>
        <v>23.108691059999998</v>
      </c>
      <c r="Q5" s="1" t="s">
        <v>59</v>
      </c>
      <c r="R5" s="1">
        <f t="shared" si="2"/>
        <v>2.6500792499999997</v>
      </c>
      <c r="S5" s="1">
        <v>8.7200000000000006</v>
      </c>
      <c r="T5" s="1" t="str">
        <f t="shared" si="3"/>
        <v>f/4.3</v>
      </c>
      <c r="U5" s="1" t="s">
        <v>7</v>
      </c>
      <c r="V5" s="1" t="s">
        <v>6</v>
      </c>
      <c r="W5" s="3">
        <v>70</v>
      </c>
      <c r="X5" s="3">
        <f t="shared" si="4"/>
        <v>69.382800499999988</v>
      </c>
      <c r="Y5" s="1" t="s">
        <v>53</v>
      </c>
      <c r="Z5" s="1">
        <f t="shared" si="5"/>
        <v>6.0332869999999987</v>
      </c>
      <c r="AA5" s="1">
        <v>11.5</v>
      </c>
      <c r="AB5" s="1" t="str">
        <f t="shared" si="6"/>
        <v>f/11.0</v>
      </c>
      <c r="AC5" s="1" t="s">
        <v>45</v>
      </c>
      <c r="AD5" s="1" t="s">
        <v>40</v>
      </c>
      <c r="AE5" s="3">
        <v>100</v>
      </c>
      <c r="AF5" s="3">
        <f t="shared" si="7"/>
        <v>95.024270249999987</v>
      </c>
      <c r="AG5" s="1" t="s">
        <v>42</v>
      </c>
      <c r="AH5" s="1">
        <f t="shared" si="8"/>
        <v>3.7858274999999995</v>
      </c>
      <c r="AI5" s="1">
        <v>25.1</v>
      </c>
      <c r="AJ5" s="1" t="str">
        <f t="shared" si="9"/>
        <v>f/10.4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7E3BF-56CF-4CBC-8484-C85B14C0DA95}">
  <dimension ref="B2:AJ8"/>
  <sheetViews>
    <sheetView workbookViewId="0">
      <selection activeCell="C3" sqref="C3"/>
    </sheetView>
  </sheetViews>
  <sheetFormatPr defaultColWidth="5.58203125" defaultRowHeight="14" x14ac:dyDescent="0.3"/>
  <cols>
    <col min="1" max="1" width="5.58203125" style="1"/>
    <col min="2" max="2" width="8.58203125" style="1" customWidth="1"/>
    <col min="3" max="3" width="13.1640625" style="1" customWidth="1"/>
    <col min="4" max="36" width="8.58203125" style="1" customWidth="1"/>
    <col min="37" max="16384" width="5.58203125" style="1"/>
  </cols>
  <sheetData>
    <row r="2" spans="2:36" ht="56" x14ac:dyDescent="0.3">
      <c r="B2" s="1" t="s">
        <v>0</v>
      </c>
      <c r="C2" s="1" t="s">
        <v>32</v>
      </c>
      <c r="D2" s="1" t="s">
        <v>33</v>
      </c>
      <c r="E2" s="1" t="s">
        <v>2</v>
      </c>
      <c r="F2" s="1" t="s">
        <v>8</v>
      </c>
      <c r="G2" s="1" t="s">
        <v>23</v>
      </c>
      <c r="H2" s="1" t="s">
        <v>56</v>
      </c>
      <c r="I2" s="1" t="s">
        <v>19</v>
      </c>
      <c r="J2" s="1" t="s">
        <v>24</v>
      </c>
      <c r="K2" s="1" t="s">
        <v>12</v>
      </c>
      <c r="L2" s="1" t="s">
        <v>26</v>
      </c>
      <c r="M2" s="1" t="s">
        <v>3</v>
      </c>
      <c r="N2" s="1" t="s">
        <v>9</v>
      </c>
      <c r="O2" s="1" t="s">
        <v>14</v>
      </c>
      <c r="P2" s="1" t="s">
        <v>57</v>
      </c>
      <c r="Q2" s="1" t="s">
        <v>20</v>
      </c>
      <c r="R2" s="1" t="s">
        <v>25</v>
      </c>
      <c r="S2" s="1" t="s">
        <v>13</v>
      </c>
      <c r="T2" s="1" t="s">
        <v>27</v>
      </c>
      <c r="U2" s="1" t="s">
        <v>4</v>
      </c>
      <c r="V2" s="1" t="s">
        <v>10</v>
      </c>
      <c r="W2" s="1" t="s">
        <v>16</v>
      </c>
      <c r="X2" s="1" t="s">
        <v>60</v>
      </c>
      <c r="Y2" s="1" t="s">
        <v>21</v>
      </c>
      <c r="Z2" s="1" t="s">
        <v>28</v>
      </c>
      <c r="AA2" s="1" t="s">
        <v>15</v>
      </c>
      <c r="AB2" s="1" t="s">
        <v>29</v>
      </c>
      <c r="AC2" s="1" t="s">
        <v>5</v>
      </c>
      <c r="AD2" s="1" t="s">
        <v>11</v>
      </c>
      <c r="AE2" s="1" t="s">
        <v>18</v>
      </c>
      <c r="AF2" s="1" t="s">
        <v>61</v>
      </c>
      <c r="AG2" s="1" t="s">
        <v>22</v>
      </c>
      <c r="AH2" s="1" t="s">
        <v>30</v>
      </c>
      <c r="AI2" s="1" t="s">
        <v>17</v>
      </c>
      <c r="AJ2" s="1" t="s">
        <v>31</v>
      </c>
    </row>
    <row r="3" spans="2:36" ht="28" x14ac:dyDescent="0.3">
      <c r="B3" s="1" t="s">
        <v>67</v>
      </c>
      <c r="C3" t="s">
        <v>62</v>
      </c>
      <c r="D3" s="1" t="s">
        <v>51</v>
      </c>
      <c r="E3" s="1" t="s">
        <v>73</v>
      </c>
      <c r="F3" t="s">
        <v>74</v>
      </c>
      <c r="G3" s="3">
        <v>16</v>
      </c>
      <c r="I3" t="s">
        <v>75</v>
      </c>
      <c r="J3" s="1">
        <f t="shared" ref="J3:J8" si="0">IFERROR(
    43.2666 * VALUE(MID(F3, FIND("/", F3) + 1, LEN(F3) - FIND("/", F3))) /
    IF(VALUE(MID(F3, FIND("/", F3) + 1, LEN(F3) - FIND("/", F3))) &lt;= 2, 16, 18),
    "无效传感器尺寸"
)</f>
        <v>7.0428409999999992</v>
      </c>
      <c r="L3" s="1" t="str">
        <f>"f/" &amp; TEXT(VALUE(SUBSTITUTE(I3,"f/","")) * J3, "0.0")</f>
        <v>f/14.1</v>
      </c>
      <c r="M3" s="1" t="s">
        <v>34</v>
      </c>
      <c r="N3" s="1" t="s">
        <v>35</v>
      </c>
      <c r="O3" s="3">
        <v>23</v>
      </c>
      <c r="Q3" s="1" t="s">
        <v>76</v>
      </c>
      <c r="R3" s="1">
        <f>IFERROR(
    43.2666 * VALUE(MID(N3, FIND("/", N3) + 1, LEN(N3) - FIND("/", N3))) /
    IF(VALUE(MID(N3, FIND("/", N3) + 1, LEN(N3) - FIND("/", N3))) &lt;= 2, 16, 18),
    "无效传感器尺寸"
)</f>
        <v>2.6500792499999997</v>
      </c>
      <c r="T3" s="1" t="str">
        <f>"f/" &amp; TEXT(VALUE(SUBSTITUTE(Q3,"f/","")) * R3, "0.0")</f>
        <v>f/4.6</v>
      </c>
      <c r="U3" s="1" t="s">
        <v>77</v>
      </c>
      <c r="V3" s="1" t="s">
        <v>6</v>
      </c>
      <c r="W3" s="3">
        <v>50</v>
      </c>
      <c r="X3" s="3"/>
      <c r="Y3" t="s">
        <v>78</v>
      </c>
      <c r="Z3" s="1">
        <f>IFERROR(
    43.2666 * VALUE(MID(V3, FIND("/", V3) + 1, LEN(V3) - FIND("/", V3))) /
    IF(VALUE(MID(V3, FIND("/", V3) + 1, LEN(V3) - FIND("/", V3))) &lt;= 2, 16, 18),
    "无效传感器尺寸"
)</f>
        <v>6.0332869999999987</v>
      </c>
      <c r="AB3" s="1" t="str">
        <f>"f/" &amp; TEXT(VALUE(SUBSTITUTE(Y3,"f/","")) * Z3, "0.0")</f>
        <v>f/9.7</v>
      </c>
      <c r="AE3" s="3"/>
      <c r="AF3" s="3"/>
    </row>
    <row r="4" spans="2:36" ht="28" x14ac:dyDescent="0.3">
      <c r="B4" s="1" t="s">
        <v>68</v>
      </c>
      <c r="C4" t="s">
        <v>62</v>
      </c>
      <c r="D4" s="1" t="s">
        <v>36</v>
      </c>
      <c r="E4" t="s">
        <v>79</v>
      </c>
      <c r="F4" s="1" t="s">
        <v>80</v>
      </c>
      <c r="G4" s="3">
        <v>14</v>
      </c>
      <c r="I4" s="1" t="s">
        <v>54</v>
      </c>
      <c r="J4" s="1">
        <f t="shared" si="0"/>
        <v>5.4083249999999996</v>
      </c>
      <c r="L4" s="1" t="str">
        <f t="shared" ref="L4:L8" si="1">"f/" &amp; TEXT(VALUE(SUBSTITUTE(I4,"f/","")) * J4, "0.0")</f>
        <v>f/11.9</v>
      </c>
      <c r="M4" s="1" t="s">
        <v>34</v>
      </c>
      <c r="N4" s="1" t="s">
        <v>35</v>
      </c>
      <c r="O4" s="3">
        <v>23</v>
      </c>
      <c r="Q4" s="1" t="s">
        <v>76</v>
      </c>
      <c r="R4" s="1">
        <f t="shared" ref="R4:R5" si="2">IFERROR(
    43.2666 * VALUE(MID(N4, FIND("/", N4) + 1, LEN(N4) - FIND("/", N4))) /
    IF(VALUE(MID(N4, FIND("/", N4) + 1, LEN(N4) - FIND("/", N4))) &lt;= 2, 16, 18),
    "无效传感器尺寸"
)</f>
        <v>2.6500792499999997</v>
      </c>
      <c r="T4" s="1" t="str">
        <f t="shared" ref="T4:T8" si="3">"f/" &amp; TEXT(VALUE(SUBSTITUTE(Q4,"f/","")) * R4, "0.0")</f>
        <v>f/4.6</v>
      </c>
      <c r="U4" s="1" t="s">
        <v>77</v>
      </c>
      <c r="V4" s="1" t="s">
        <v>6</v>
      </c>
      <c r="W4" s="3">
        <v>50</v>
      </c>
      <c r="X4" s="3"/>
      <c r="Y4" t="s">
        <v>78</v>
      </c>
      <c r="Z4" s="1">
        <f t="shared" ref="Z4" si="4">IFERROR(
    43.2666 * VALUE(MID(V4, FIND("/", V4) + 1, LEN(V4) - FIND("/", V4))) /
    IF(VALUE(MID(V4, FIND("/", V4) + 1, LEN(V4) - FIND("/", V4))) &lt;= 2, 16, 18),
    "无效传感器尺寸"
)</f>
        <v>6.0332869999999987</v>
      </c>
      <c r="AB4" s="1" t="str">
        <f t="shared" ref="AB4:AB8" si="5">"f/" &amp; TEXT(VALUE(SUBSTITUTE(Y4,"f/","")) * Z4, "0.0")</f>
        <v>f/9.7</v>
      </c>
      <c r="AC4" s="1" t="s">
        <v>81</v>
      </c>
      <c r="AD4" s="1" t="s">
        <v>80</v>
      </c>
      <c r="AE4" s="3">
        <v>125</v>
      </c>
      <c r="AF4" s="3"/>
      <c r="AG4" s="1" t="s">
        <v>82</v>
      </c>
      <c r="AH4" s="1">
        <f t="shared" ref="AH4:AH5" si="6">IFERROR(
    43.2666 * VALUE(MID(AD4, FIND("/", AD4) + 1, LEN(AD4) - FIND("/", AD4))) /
    IF(VALUE(MID(AD4, FIND("/", AD4) + 1, LEN(AD4) - FIND("/", AD4))) &lt;= 2, 16, 18),
    "无效传感器尺寸"
)</f>
        <v>5.4083249999999996</v>
      </c>
      <c r="AJ4" s="1" t="str">
        <f t="shared" ref="AJ4:AJ5" si="7">"f/" &amp; TEXT(VALUE(SUBSTITUTE(AG4,"f/","")) * AH4, "0.0")</f>
        <v>f/18.9</v>
      </c>
    </row>
    <row r="5" spans="2:36" ht="28" x14ac:dyDescent="0.3">
      <c r="B5" s="1" t="s">
        <v>69</v>
      </c>
      <c r="C5" t="s">
        <v>63</v>
      </c>
      <c r="D5" s="1" t="s">
        <v>51</v>
      </c>
      <c r="E5" s="1" t="s">
        <v>83</v>
      </c>
      <c r="F5" s="1" t="s">
        <v>43</v>
      </c>
      <c r="G5" s="3">
        <v>15</v>
      </c>
      <c r="I5" s="1" t="s">
        <v>84</v>
      </c>
      <c r="J5" s="1">
        <f t="shared" si="0"/>
        <v>6.6342119999999989</v>
      </c>
      <c r="L5" s="1" t="str">
        <f t="shared" si="1"/>
        <v>f/13.3</v>
      </c>
      <c r="M5" s="1" t="s">
        <v>34</v>
      </c>
      <c r="N5" s="1" t="s">
        <v>35</v>
      </c>
      <c r="O5" s="3">
        <v>23</v>
      </c>
      <c r="Q5" s="1" t="s">
        <v>76</v>
      </c>
      <c r="R5" s="1">
        <f t="shared" si="2"/>
        <v>2.6500792499999997</v>
      </c>
      <c r="T5" s="1" t="str">
        <f t="shared" si="3"/>
        <v>f/4.6</v>
      </c>
      <c r="W5" s="3"/>
      <c r="X5" s="3"/>
      <c r="AC5" s="1" t="s">
        <v>77</v>
      </c>
      <c r="AD5" s="1" t="s">
        <v>6</v>
      </c>
      <c r="AE5" s="3">
        <v>100</v>
      </c>
      <c r="AF5" s="3"/>
      <c r="AG5" s="1" t="s">
        <v>46</v>
      </c>
      <c r="AH5" s="1">
        <f t="shared" si="6"/>
        <v>6.0332869999999987</v>
      </c>
      <c r="AJ5" s="1" t="str">
        <f t="shared" si="7"/>
        <v>f/15.1</v>
      </c>
    </row>
    <row r="6" spans="2:36" ht="28" x14ac:dyDescent="0.3">
      <c r="B6" s="1" t="s">
        <v>70</v>
      </c>
      <c r="C6" t="s">
        <v>64</v>
      </c>
      <c r="D6" s="1" t="s">
        <v>36</v>
      </c>
      <c r="E6" t="s">
        <v>85</v>
      </c>
      <c r="F6" s="1" t="s">
        <v>86</v>
      </c>
      <c r="G6" s="3">
        <v>14</v>
      </c>
      <c r="I6" s="1" t="s">
        <v>54</v>
      </c>
      <c r="J6" s="1">
        <f t="shared" si="0"/>
        <v>5.2731168749999995</v>
      </c>
      <c r="L6" s="1" t="str">
        <f t="shared" si="1"/>
        <v>f/11.6</v>
      </c>
      <c r="M6" s="1" t="s">
        <v>39</v>
      </c>
      <c r="N6" s="1" t="s">
        <v>35</v>
      </c>
      <c r="O6" s="3">
        <v>23</v>
      </c>
      <c r="Q6" s="1" t="s">
        <v>76</v>
      </c>
      <c r="R6" s="1">
        <f>IFERROR(
    43.2666 * VALUE(MID(N6, FIND("/", N6) + 1, LEN(N6) - FIND("/", N6))) /
    IF(VALUE(MID(N6, FIND("/", N6) + 1, LEN(N6) - FIND("/", N6))) &lt;= 2, 16, 18),
    "无效传感器尺寸"
)</f>
        <v>2.6500792499999997</v>
      </c>
      <c r="T6" s="1" t="str">
        <f t="shared" si="3"/>
        <v>f/4.6</v>
      </c>
      <c r="U6" s="1" t="s">
        <v>87</v>
      </c>
      <c r="V6" s="1" t="s">
        <v>40</v>
      </c>
      <c r="W6" s="3">
        <v>85</v>
      </c>
      <c r="X6" s="3"/>
      <c r="Y6" s="1" t="s">
        <v>88</v>
      </c>
      <c r="Z6" s="1">
        <f>IFERROR(
    43.2666 * VALUE(MID(V6, FIND("/", V6) + 1, LEN(V6) - FIND("/", V6))) /
    IF(VALUE(MID(V6, FIND("/", V6) + 1, LEN(V6) - FIND("/", V6))) &lt;= 2, 16, 18),
    "无效传感器尺寸"
)</f>
        <v>3.7858274999999995</v>
      </c>
      <c r="AB6" s="1" t="str">
        <f>"f/" &amp; TEXT(VALUE(SUBSTITUTE(Y6,"f/","")) * Z6, "0.0")</f>
        <v>f/10.1</v>
      </c>
    </row>
    <row r="7" spans="2:36" ht="28" x14ac:dyDescent="0.3">
      <c r="B7" s="1" t="s">
        <v>72</v>
      </c>
      <c r="C7" t="s">
        <v>65</v>
      </c>
      <c r="D7" s="1" t="s">
        <v>51</v>
      </c>
      <c r="E7" t="s">
        <v>85</v>
      </c>
      <c r="F7" s="1" t="s">
        <v>86</v>
      </c>
      <c r="G7" s="3">
        <v>14</v>
      </c>
      <c r="I7" s="1" t="s">
        <v>84</v>
      </c>
      <c r="J7" s="1">
        <f t="shared" si="0"/>
        <v>5.2731168749999995</v>
      </c>
      <c r="L7" s="1" t="str">
        <f t="shared" si="1"/>
        <v>f/10.5</v>
      </c>
      <c r="M7" t="s">
        <v>89</v>
      </c>
      <c r="N7" s="1" t="s">
        <v>90</v>
      </c>
      <c r="O7" s="3">
        <v>23</v>
      </c>
      <c r="Q7" s="1" t="s">
        <v>91</v>
      </c>
      <c r="R7" s="1">
        <f t="shared" ref="R7:R8" si="8">IFERROR(
    43.2666 * VALUE(MID(N7, FIND("/", N7) + 1, LEN(N7) - FIND("/", N7))) /
    IF(VALUE(MID(N7, FIND("/", N7) + 1, LEN(N7) - FIND("/", N7))) &lt;= 2, 16, 18),
    "无效传感器尺寸"
)</f>
        <v>3.461328</v>
      </c>
      <c r="T7" s="1" t="str">
        <f t="shared" si="3"/>
        <v>f/5.4</v>
      </c>
      <c r="U7" t="s">
        <v>92</v>
      </c>
      <c r="V7" s="1" t="s">
        <v>86</v>
      </c>
      <c r="W7" s="3">
        <v>70</v>
      </c>
      <c r="X7" s="3"/>
      <c r="Y7" s="1" t="s">
        <v>84</v>
      </c>
      <c r="Z7" s="1">
        <f t="shared" ref="Z7:Z8" si="9">IFERROR(
    43.2666 * VALUE(MID(V7, FIND("/", V7) + 1, LEN(V7) - FIND("/", V7))) /
    IF(VALUE(MID(V7, FIND("/", V7) + 1, LEN(V7) - FIND("/", V7))) &lt;= 2, 16, 18),
    "无效传感器尺寸"
)</f>
        <v>5.2731168749999995</v>
      </c>
      <c r="AB7" s="1" t="str">
        <f t="shared" si="5"/>
        <v>f/10.5</v>
      </c>
      <c r="AE7" s="3"/>
      <c r="AF7" s="3"/>
    </row>
    <row r="8" spans="2:36" ht="28" x14ac:dyDescent="0.3">
      <c r="B8" s="1" t="s">
        <v>71</v>
      </c>
      <c r="C8" t="s">
        <v>66</v>
      </c>
      <c r="D8" s="1" t="s">
        <v>36</v>
      </c>
      <c r="E8" t="s">
        <v>89</v>
      </c>
      <c r="F8" s="1" t="s">
        <v>90</v>
      </c>
      <c r="G8" s="3">
        <v>14</v>
      </c>
      <c r="I8" s="1" t="s">
        <v>84</v>
      </c>
      <c r="J8" s="1">
        <f t="shared" si="0"/>
        <v>3.461328</v>
      </c>
      <c r="L8" s="1" t="str">
        <f t="shared" si="1"/>
        <v>f/6.9</v>
      </c>
      <c r="M8" t="s">
        <v>89</v>
      </c>
      <c r="N8" s="1" t="s">
        <v>90</v>
      </c>
      <c r="O8" s="3">
        <v>35</v>
      </c>
      <c r="Q8" s="1" t="s">
        <v>93</v>
      </c>
      <c r="R8" s="1">
        <f t="shared" si="8"/>
        <v>3.461328</v>
      </c>
      <c r="T8" s="1" t="str">
        <f t="shared" si="3"/>
        <v>f/5.8</v>
      </c>
      <c r="U8" s="1" t="s">
        <v>87</v>
      </c>
      <c r="V8" s="1" t="s">
        <v>40</v>
      </c>
      <c r="W8" s="3">
        <v>85</v>
      </c>
      <c r="X8" s="3"/>
      <c r="Y8" s="1" t="s">
        <v>94</v>
      </c>
      <c r="Z8" s="1">
        <f t="shared" si="9"/>
        <v>3.7858274999999995</v>
      </c>
      <c r="AB8" s="1" t="str">
        <f t="shared" si="5"/>
        <v>f/8.6</v>
      </c>
      <c r="AE8" s="3"/>
      <c r="AF8" s="3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F1EEB-C0FD-486E-873C-233BD4D23AE1}">
  <dimension ref="B2:AJ6"/>
  <sheetViews>
    <sheetView workbookViewId="0">
      <selection activeCell="C3" sqref="C3"/>
    </sheetView>
  </sheetViews>
  <sheetFormatPr defaultColWidth="5.58203125" defaultRowHeight="14" x14ac:dyDescent="0.3"/>
  <cols>
    <col min="1" max="1" width="5.58203125" style="1"/>
    <col min="2" max="2" width="8.58203125" style="1" customWidth="1"/>
    <col min="3" max="3" width="14.25" style="2" customWidth="1"/>
    <col min="4" max="36" width="8.58203125" style="1" customWidth="1"/>
    <col min="37" max="16384" width="5.58203125" style="1"/>
  </cols>
  <sheetData>
    <row r="2" spans="2:36" ht="56" x14ac:dyDescent="0.3">
      <c r="B2" s="1" t="s">
        <v>0</v>
      </c>
      <c r="C2" s="2" t="s">
        <v>32</v>
      </c>
      <c r="D2" s="1" t="s">
        <v>33</v>
      </c>
      <c r="E2" s="1" t="s">
        <v>2</v>
      </c>
      <c r="F2" s="1" t="s">
        <v>8</v>
      </c>
      <c r="G2" s="1" t="s">
        <v>23</v>
      </c>
      <c r="H2" s="1" t="s">
        <v>56</v>
      </c>
      <c r="I2" s="1" t="s">
        <v>19</v>
      </c>
      <c r="J2" s="1" t="s">
        <v>24</v>
      </c>
      <c r="K2" s="1" t="s">
        <v>12</v>
      </c>
      <c r="L2" s="1" t="s">
        <v>26</v>
      </c>
      <c r="M2" s="1" t="s">
        <v>3</v>
      </c>
      <c r="N2" s="1" t="s">
        <v>9</v>
      </c>
      <c r="O2" s="1" t="s">
        <v>14</v>
      </c>
      <c r="P2" s="1" t="s">
        <v>57</v>
      </c>
      <c r="Q2" s="1" t="s">
        <v>20</v>
      </c>
      <c r="R2" s="1" t="s">
        <v>25</v>
      </c>
      <c r="S2" s="1" t="s">
        <v>13</v>
      </c>
      <c r="T2" s="1" t="s">
        <v>27</v>
      </c>
      <c r="U2" s="1" t="s">
        <v>4</v>
      </c>
      <c r="V2" s="1" t="s">
        <v>10</v>
      </c>
      <c r="W2" s="1" t="s">
        <v>16</v>
      </c>
      <c r="X2" s="1" t="s">
        <v>60</v>
      </c>
      <c r="Y2" s="1" t="s">
        <v>21</v>
      </c>
      <c r="Z2" s="1" t="s">
        <v>28</v>
      </c>
      <c r="AA2" s="1" t="s">
        <v>15</v>
      </c>
      <c r="AB2" s="1" t="s">
        <v>29</v>
      </c>
      <c r="AC2" s="1" t="s">
        <v>5</v>
      </c>
      <c r="AD2" s="1" t="s">
        <v>11</v>
      </c>
      <c r="AE2" s="1" t="s">
        <v>18</v>
      </c>
      <c r="AF2" s="1" t="s">
        <v>61</v>
      </c>
      <c r="AG2" s="1" t="s">
        <v>22</v>
      </c>
      <c r="AH2" s="1" t="s">
        <v>30</v>
      </c>
      <c r="AI2" s="1" t="s">
        <v>17</v>
      </c>
      <c r="AJ2" s="1" t="s">
        <v>31</v>
      </c>
    </row>
    <row r="3" spans="2:36" ht="42" x14ac:dyDescent="0.3">
      <c r="B3" s="1" t="s">
        <v>95</v>
      </c>
      <c r="C3" s="4" t="s">
        <v>111</v>
      </c>
      <c r="D3" s="1" t="s">
        <v>36</v>
      </c>
      <c r="E3" t="s">
        <v>52</v>
      </c>
      <c r="F3" s="1" t="s">
        <v>55</v>
      </c>
      <c r="G3" s="3">
        <v>14</v>
      </c>
      <c r="I3" s="1" t="s">
        <v>84</v>
      </c>
      <c r="J3" s="1">
        <f>IFERROR(
    43.2666 * VALUE(MID(F3, FIND("/", F3) + 1, LEN(F3) - FIND("/", F3))) /
    IF(VALUE(MID(F3, FIND("/", F3) + 1, LEN(F3) - FIND("/", F3))) &lt;= 2, 16, 18),
    "无效传感器尺寸"
)</f>
        <v>4.2184935000000001</v>
      </c>
      <c r="L3" s="1" t="str">
        <f>"f/" &amp; TEXT(VALUE(SUBSTITUTE(I3,"f/","")) * J3, "0.0")</f>
        <v>f/8.4</v>
      </c>
      <c r="M3" s="1" t="s">
        <v>34</v>
      </c>
      <c r="N3" s="1" t="s">
        <v>35</v>
      </c>
      <c r="O3" s="3">
        <v>23</v>
      </c>
      <c r="Q3" s="1" t="s">
        <v>53</v>
      </c>
      <c r="R3" s="1">
        <f>IFERROR(
    43.2666 * VALUE(MID(N3, FIND("/", N3) + 1, LEN(N3) - FIND("/", N3))) /
    IF(VALUE(MID(N3, FIND("/", N3) + 1, LEN(N3) - FIND("/", N3))) &lt;= 2, 16, 18),
    "无效传感器尺寸"
)</f>
        <v>2.6500792499999997</v>
      </c>
      <c r="T3" s="1" t="str">
        <f>"f/" &amp; TEXT(VALUE(SUBSTITUTE(Q3,"f/","")) * R3, "0.0")</f>
        <v>f/4.8</v>
      </c>
      <c r="U3" s="1" t="s">
        <v>52</v>
      </c>
      <c r="V3" s="1" t="s">
        <v>55</v>
      </c>
      <c r="W3" s="3">
        <v>65</v>
      </c>
      <c r="X3" s="3"/>
      <c r="Y3" t="s">
        <v>42</v>
      </c>
      <c r="Z3" s="1">
        <f>IFERROR(
    43.2666 * VALUE(MID(V3, FIND("/", V3) + 1, LEN(V3) - FIND("/", V3))) /
    IF(VALUE(MID(V3, FIND("/", V3) + 1, LEN(V3) - FIND("/", V3))) &lt;= 2, 16, 18),
    "无效传感器尺寸"
)</f>
        <v>4.2184935000000001</v>
      </c>
      <c r="AB3" s="1" t="str">
        <f>"f/" &amp; TEXT(VALUE(SUBSTITUTE(Y3,"f/","")) * Z3, "0.0")</f>
        <v>f/11.0</v>
      </c>
      <c r="AE3" s="3"/>
      <c r="AF3" s="3"/>
    </row>
    <row r="4" spans="2:36" ht="42" x14ac:dyDescent="0.3">
      <c r="B4" s="1" t="s">
        <v>96</v>
      </c>
      <c r="C4" s="5" t="s">
        <v>112</v>
      </c>
      <c r="D4" s="1" t="s">
        <v>36</v>
      </c>
      <c r="E4" t="s">
        <v>85</v>
      </c>
      <c r="F4" s="1" t="s">
        <v>86</v>
      </c>
      <c r="G4" s="3">
        <v>14</v>
      </c>
      <c r="I4" s="1" t="s">
        <v>99</v>
      </c>
      <c r="J4" s="1">
        <f t="shared" ref="J4:J6" si="0">IFERROR(
    43.2666 * VALUE(MID(F4, FIND("/", F4) + 1, LEN(F4) - FIND("/", F4))) /
    IF(VALUE(MID(F4, FIND("/", F4) + 1, LEN(F4) - FIND("/", F4))) &lt;= 2, 16, 18),
    "无效传感器尺寸"
)</f>
        <v>5.2731168749999995</v>
      </c>
      <c r="L4" s="1" t="str">
        <f t="shared" ref="L4:L6" si="1">"f/" &amp; TEXT(VALUE(SUBSTITUTE(I4,"f/","")) * J4, "0.0")</f>
        <v>f/10.3</v>
      </c>
      <c r="M4" s="1" t="s">
        <v>39</v>
      </c>
      <c r="N4" s="1" t="s">
        <v>35</v>
      </c>
      <c r="O4" s="3">
        <v>23</v>
      </c>
      <c r="Q4" s="1" t="s">
        <v>53</v>
      </c>
      <c r="R4" s="1">
        <f t="shared" ref="R4:R5" si="2">IFERROR(
    43.2666 * VALUE(MID(N4, FIND("/", N4) + 1, LEN(N4) - FIND("/", N4))) /
    IF(VALUE(MID(N4, FIND("/", N4) + 1, LEN(N4) - FIND("/", N4))) &lt;= 2, 16, 18),
    "无效传感器尺寸"
)</f>
        <v>2.6500792499999997</v>
      </c>
      <c r="T4" s="1" t="str">
        <f t="shared" ref="T4:T6" si="3">"f/" &amp; TEXT(VALUE(SUBSTITUTE(Q4,"f/","")) * R4, "0.0")</f>
        <v>f/4.8</v>
      </c>
      <c r="U4" s="1" t="s">
        <v>52</v>
      </c>
      <c r="V4" s="1" t="s">
        <v>55</v>
      </c>
      <c r="W4" s="3">
        <v>65</v>
      </c>
      <c r="X4" s="3"/>
      <c r="Y4" t="s">
        <v>42</v>
      </c>
      <c r="Z4" s="1">
        <f t="shared" ref="Z4" si="4">IFERROR(
    43.2666 * VALUE(MID(V4, FIND("/", V4) + 1, LEN(V4) - FIND("/", V4))) /
    IF(VALUE(MID(V4, FIND("/", V4) + 1, LEN(V4) - FIND("/", V4))) &lt;= 2, 16, 18),
    "无效传感器尺寸"
)</f>
        <v>4.2184935000000001</v>
      </c>
      <c r="AB4" s="1" t="str">
        <f t="shared" ref="AB4" si="5">"f/" &amp; TEXT(VALUE(SUBSTITUTE(Y4,"f/","")) * Z4, "0.0")</f>
        <v>f/11.0</v>
      </c>
      <c r="AC4" s="1" t="s">
        <v>7</v>
      </c>
      <c r="AD4" s="1" t="s">
        <v>6</v>
      </c>
      <c r="AE4" s="3">
        <v>135</v>
      </c>
      <c r="AF4" s="3"/>
      <c r="AG4" s="1" t="s">
        <v>100</v>
      </c>
      <c r="AH4" s="1">
        <f>IFERROR(
    43.2666 * VALUE(MID(AD4, FIND("/", AD4) + 1, LEN(AD4) - FIND("/", AD4))) /
    IF(VALUE(MID(AD4, FIND("/", AD4) + 1, LEN(AD4) - FIND("/", AD4))) &lt;= 2, 16, 18),
    "无效传感器尺寸"
)</f>
        <v>6.0332869999999987</v>
      </c>
      <c r="AJ4" s="1" t="str">
        <f t="shared" ref="AJ4" si="6">"f/" &amp; TEXT(VALUE(SUBSTITUTE(AG4,"f/","")) * AH4, "0.0")</f>
        <v>f/25.9</v>
      </c>
    </row>
    <row r="5" spans="2:36" ht="42" x14ac:dyDescent="0.3">
      <c r="B5" s="1" t="s">
        <v>97</v>
      </c>
      <c r="C5" s="5" t="s">
        <v>113</v>
      </c>
      <c r="D5" s="1" t="s">
        <v>51</v>
      </c>
      <c r="E5" s="1" t="s">
        <v>44</v>
      </c>
      <c r="F5" s="1" t="s">
        <v>102</v>
      </c>
      <c r="G5" s="3">
        <v>15</v>
      </c>
      <c r="I5" s="1" t="s">
        <v>84</v>
      </c>
      <c r="J5" s="1">
        <f t="shared" si="0"/>
        <v>6.6101749999999999</v>
      </c>
      <c r="L5" s="1" t="str">
        <f t="shared" si="1"/>
        <v>f/13.2</v>
      </c>
      <c r="M5" s="1" t="s">
        <v>101</v>
      </c>
      <c r="N5" s="1" t="s">
        <v>55</v>
      </c>
      <c r="O5" s="3">
        <v>24</v>
      </c>
      <c r="Q5" s="1" t="s">
        <v>53</v>
      </c>
      <c r="R5" s="1">
        <f t="shared" si="2"/>
        <v>4.2184935000000001</v>
      </c>
      <c r="T5" s="1" t="str">
        <f t="shared" si="3"/>
        <v>f/7.6</v>
      </c>
      <c r="U5" t="s">
        <v>85</v>
      </c>
      <c r="V5" s="1" t="s">
        <v>86</v>
      </c>
      <c r="W5" s="3">
        <v>73</v>
      </c>
      <c r="X5" s="3"/>
      <c r="Y5" s="1" t="s">
        <v>42</v>
      </c>
      <c r="Z5" s="1">
        <f>IFERROR(
    43.2666 * VALUE(MID(V5, FIND("/", V5) + 1, LEN(V5) - FIND("/", V5))) /
    IF(VALUE(MID(V5, FIND("/", V5) + 1, LEN(V5) - FIND("/", V5))) &lt;= 2, 16, 18),
    "无效传感器尺寸"
)</f>
        <v>5.2731168749999995</v>
      </c>
      <c r="AB5" s="1" t="str">
        <f>"f/" &amp; TEXT(VALUE(SUBSTITUTE(Y5,"f/","")) * Z5, "0.0")</f>
        <v>f/13.7</v>
      </c>
    </row>
    <row r="6" spans="2:36" ht="42" x14ac:dyDescent="0.3">
      <c r="B6" s="1" t="s">
        <v>98</v>
      </c>
      <c r="C6" s="5" t="s">
        <v>110</v>
      </c>
      <c r="D6" s="1" t="s">
        <v>36</v>
      </c>
      <c r="E6" s="1" t="s">
        <v>44</v>
      </c>
      <c r="F6" s="1" t="s">
        <v>102</v>
      </c>
      <c r="G6" s="3">
        <v>15</v>
      </c>
      <c r="I6" s="1" t="s">
        <v>84</v>
      </c>
      <c r="J6" s="1">
        <f t="shared" si="0"/>
        <v>6.6101749999999999</v>
      </c>
      <c r="L6" s="1" t="str">
        <f t="shared" si="1"/>
        <v>f/13.2</v>
      </c>
      <c r="M6" s="1" t="s">
        <v>39</v>
      </c>
      <c r="N6" s="1" t="s">
        <v>35</v>
      </c>
      <c r="O6" s="3">
        <v>23</v>
      </c>
      <c r="Q6" s="1" t="s">
        <v>53</v>
      </c>
      <c r="R6" s="1">
        <f>IFERROR(
    43.2666 * VALUE(MID(N6, FIND("/", N6) + 1, LEN(N6) - FIND("/", N6))) /
    IF(VALUE(MID(N6, FIND("/", N6) + 1, LEN(N6) - FIND("/", N6))) &lt;= 2, 16, 18),
    "无效传感器尺寸"
)</f>
        <v>2.6500792499999997</v>
      </c>
      <c r="T6" s="1" t="str">
        <f t="shared" si="3"/>
        <v>f/4.8</v>
      </c>
      <c r="U6" t="s">
        <v>101</v>
      </c>
      <c r="V6" s="1" t="s">
        <v>55</v>
      </c>
      <c r="W6" s="3">
        <v>70</v>
      </c>
      <c r="X6" s="3"/>
      <c r="Y6" s="1" t="s">
        <v>88</v>
      </c>
      <c r="Z6" s="1">
        <f>IFERROR(
    43.2666 * VALUE(MID(V6, FIND("/", V6) + 1, LEN(V6) - FIND("/", V6))) /
    IF(VALUE(MID(V6, FIND("/", V6) + 1, LEN(V6) - FIND("/", V6))) &lt;= 2, 16, 18),
    "无效传感器尺寸"
)</f>
        <v>4.2184935000000001</v>
      </c>
      <c r="AB6" s="1" t="str">
        <f>"f/" &amp; TEXT(VALUE(SUBSTITUTE(Y6,"f/","")) * Z6, "0.0")</f>
        <v>f/11.3</v>
      </c>
      <c r="AC6" t="s">
        <v>85</v>
      </c>
      <c r="AD6" s="1" t="s">
        <v>86</v>
      </c>
      <c r="AE6" s="1">
        <v>135</v>
      </c>
      <c r="AG6" s="1" t="s">
        <v>103</v>
      </c>
      <c r="AH6" s="1">
        <f>IFERROR(
    43.2666 * VALUE(MID(AD6, FIND("/", AD6) + 1, LEN(AD6) - FIND("/", AD6))) /
    IF(VALUE(MID(AD6, FIND("/", AD6) + 1, LEN(AD6) - FIND("/", AD6))) &lt;= 2, 16, 18),
    "无效传感器尺寸"
)</f>
        <v>5.2731168749999995</v>
      </c>
      <c r="AJ6" s="1" t="str">
        <f>"f/" &amp; TEXT(VALUE(SUBSTITUTE(AG6,"f/","")) * AH6, "0.0")</f>
        <v>f/16.9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093D5-860E-47A4-8515-8F1777445AB6}">
  <dimension ref="B2:AJ6"/>
  <sheetViews>
    <sheetView workbookViewId="0">
      <selection activeCell="C6" sqref="C6"/>
    </sheetView>
  </sheetViews>
  <sheetFormatPr defaultColWidth="5.58203125" defaultRowHeight="14" x14ac:dyDescent="0.3"/>
  <cols>
    <col min="1" max="1" width="5.58203125" style="1"/>
    <col min="2" max="2" width="8.58203125" style="1" customWidth="1"/>
    <col min="3" max="3" width="14.25" style="1" customWidth="1"/>
    <col min="4" max="36" width="8.58203125" style="1" customWidth="1"/>
    <col min="37" max="16384" width="5.58203125" style="1"/>
  </cols>
  <sheetData>
    <row r="2" spans="2:36" ht="56" x14ac:dyDescent="0.3">
      <c r="B2" s="1" t="s">
        <v>0</v>
      </c>
      <c r="C2" s="1" t="s">
        <v>32</v>
      </c>
      <c r="D2" s="1" t="s">
        <v>33</v>
      </c>
      <c r="E2" s="1" t="s">
        <v>2</v>
      </c>
      <c r="F2" s="1" t="s">
        <v>8</v>
      </c>
      <c r="G2" s="1" t="s">
        <v>23</v>
      </c>
      <c r="H2" s="1" t="s">
        <v>56</v>
      </c>
      <c r="I2" s="1" t="s">
        <v>19</v>
      </c>
      <c r="J2" s="1" t="s">
        <v>24</v>
      </c>
      <c r="K2" s="1" t="s">
        <v>12</v>
      </c>
      <c r="L2" s="1" t="s">
        <v>26</v>
      </c>
      <c r="M2" s="1" t="s">
        <v>3</v>
      </c>
      <c r="N2" s="1" t="s">
        <v>9</v>
      </c>
      <c r="O2" s="1" t="s">
        <v>14</v>
      </c>
      <c r="P2" s="1" t="s">
        <v>57</v>
      </c>
      <c r="Q2" s="1" t="s">
        <v>20</v>
      </c>
      <c r="R2" s="1" t="s">
        <v>25</v>
      </c>
      <c r="S2" s="1" t="s">
        <v>13</v>
      </c>
      <c r="T2" s="1" t="s">
        <v>27</v>
      </c>
      <c r="U2" s="1" t="s">
        <v>4</v>
      </c>
      <c r="V2" s="1" t="s">
        <v>10</v>
      </c>
      <c r="W2" s="1" t="s">
        <v>16</v>
      </c>
      <c r="X2" s="1" t="s">
        <v>60</v>
      </c>
      <c r="Y2" s="1" t="s">
        <v>21</v>
      </c>
      <c r="Z2" s="1" t="s">
        <v>28</v>
      </c>
      <c r="AA2" s="1" t="s">
        <v>15</v>
      </c>
      <c r="AB2" s="1" t="s">
        <v>29</v>
      </c>
      <c r="AC2" s="1" t="s">
        <v>5</v>
      </c>
      <c r="AD2" s="1" t="s">
        <v>11</v>
      </c>
      <c r="AE2" s="1" t="s">
        <v>18</v>
      </c>
      <c r="AF2" s="1" t="s">
        <v>61</v>
      </c>
      <c r="AG2" s="1" t="s">
        <v>22</v>
      </c>
      <c r="AH2" s="1" t="s">
        <v>30</v>
      </c>
      <c r="AI2" s="1" t="s">
        <v>17</v>
      </c>
      <c r="AJ2" s="1" t="s">
        <v>31</v>
      </c>
    </row>
    <row r="3" spans="2:36" ht="28" x14ac:dyDescent="0.3">
      <c r="B3" s="1" t="s">
        <v>106</v>
      </c>
      <c r="C3" s="4" t="s">
        <v>111</v>
      </c>
      <c r="D3" s="1" t="s">
        <v>36</v>
      </c>
      <c r="E3" t="s">
        <v>52</v>
      </c>
      <c r="F3" s="1" t="s">
        <v>55</v>
      </c>
      <c r="G3" s="3">
        <v>14</v>
      </c>
      <c r="I3" s="1" t="s">
        <v>84</v>
      </c>
      <c r="J3" s="1">
        <f>IFERROR(
    43.2666 * VALUE(MID(F3, FIND("/", F3) + 1, LEN(F3) - FIND("/", F3))) /
    IF(VALUE(MID(F3, FIND("/", F3) + 1, LEN(F3) - FIND("/", F3))) &lt;= 2, 16, 18),
    "无效传感器尺寸"
)</f>
        <v>4.2184935000000001</v>
      </c>
      <c r="L3" s="1" t="str">
        <f>"f/" &amp; TEXT(VALUE(SUBSTITUTE(I3,"f/","")) * J3, "0.0")</f>
        <v>f/8.4</v>
      </c>
      <c r="M3" s="1" t="s">
        <v>34</v>
      </c>
      <c r="N3" s="1" t="s">
        <v>35</v>
      </c>
      <c r="O3" s="3">
        <v>23</v>
      </c>
      <c r="Q3" s="1" t="s">
        <v>53</v>
      </c>
      <c r="R3" s="1">
        <f>IFERROR(
    43.2666 * VALUE(MID(N3, FIND("/", N3) + 1, LEN(N3) - FIND("/", N3))) /
    IF(VALUE(MID(N3, FIND("/", N3) + 1, LEN(N3) - FIND("/", N3))) &lt;= 2, 16, 18),
    "无效传感器尺寸"
)</f>
        <v>2.6500792499999997</v>
      </c>
      <c r="T3" s="1" t="str">
        <f>"f/" &amp; TEXT(VALUE(SUBSTITUTE(Q3,"f/","")) * R3, "0.0")</f>
        <v>f/4.8</v>
      </c>
      <c r="U3" s="1" t="s">
        <v>52</v>
      </c>
      <c r="V3" s="1" t="s">
        <v>55</v>
      </c>
      <c r="W3" s="3">
        <v>65</v>
      </c>
      <c r="X3" s="3"/>
      <c r="Y3" t="s">
        <v>42</v>
      </c>
      <c r="Z3" s="1">
        <f>IFERROR(
    43.2666 * VALUE(MID(V3, FIND("/", V3) + 1, LEN(V3) - FIND("/", V3))) /
    IF(VALUE(MID(V3, FIND("/", V3) + 1, LEN(V3) - FIND("/", V3))) &lt;= 2, 16, 18),
    "无效传感器尺寸"
)</f>
        <v>4.2184935000000001</v>
      </c>
      <c r="AB3" s="1" t="str">
        <f>"f/" &amp; TEXT(VALUE(SUBSTITUTE(Y3,"f/","")) * Z3, "0.0")</f>
        <v>f/11.0</v>
      </c>
      <c r="AE3" s="3"/>
      <c r="AF3" s="3"/>
    </row>
    <row r="4" spans="2:36" ht="28" x14ac:dyDescent="0.3">
      <c r="B4" s="1" t="s">
        <v>49</v>
      </c>
      <c r="C4" s="5" t="s">
        <v>112</v>
      </c>
      <c r="D4" s="1" t="s">
        <v>36</v>
      </c>
      <c r="E4" t="s">
        <v>85</v>
      </c>
      <c r="F4" s="1" t="s">
        <v>86</v>
      </c>
      <c r="G4" s="3">
        <v>14</v>
      </c>
      <c r="I4" s="1" t="s">
        <v>99</v>
      </c>
      <c r="J4" s="1">
        <f t="shared" ref="J4:J6" si="0">IFERROR(
    43.2666 * VALUE(MID(F4, FIND("/", F4) + 1, LEN(F4) - FIND("/", F4))) /
    IF(VALUE(MID(F4, FIND("/", F4) + 1, LEN(F4) - FIND("/", F4))) &lt;= 2, 16, 18),
    "无效传感器尺寸"
)</f>
        <v>5.2731168749999995</v>
      </c>
      <c r="L4" s="1" t="str">
        <f t="shared" ref="L4:L6" si="1">"f/" &amp; TEXT(VALUE(SUBSTITUTE(I4,"f/","")) * J4, "0.0")</f>
        <v>f/10.3</v>
      </c>
      <c r="M4" s="1" t="s">
        <v>39</v>
      </c>
      <c r="N4" s="1" t="s">
        <v>35</v>
      </c>
      <c r="O4" s="3">
        <v>23</v>
      </c>
      <c r="Q4" s="1" t="s">
        <v>53</v>
      </c>
      <c r="R4" s="1">
        <f t="shared" ref="R4:R5" si="2">IFERROR(
    43.2666 * VALUE(MID(N4, FIND("/", N4) + 1, LEN(N4) - FIND("/", N4))) /
    IF(VALUE(MID(N4, FIND("/", N4) + 1, LEN(N4) - FIND("/", N4))) &lt;= 2, 16, 18),
    "无效传感器尺寸"
)</f>
        <v>2.6500792499999997</v>
      </c>
      <c r="T4" s="1" t="str">
        <f t="shared" ref="T4:T6" si="3">"f/" &amp; TEXT(VALUE(SUBSTITUTE(Q4,"f/","")) * R4, "0.0")</f>
        <v>f/4.8</v>
      </c>
      <c r="U4" s="1" t="s">
        <v>52</v>
      </c>
      <c r="V4" s="1" t="s">
        <v>55</v>
      </c>
      <c r="W4" s="3">
        <v>65</v>
      </c>
      <c r="X4" s="3"/>
      <c r="Y4" t="s">
        <v>42</v>
      </c>
      <c r="Z4" s="1">
        <f t="shared" ref="Z4" si="4">IFERROR(
    43.2666 * VALUE(MID(V4, FIND("/", V4) + 1, LEN(V4) - FIND("/", V4))) /
    IF(VALUE(MID(V4, FIND("/", V4) + 1, LEN(V4) - FIND("/", V4))) &lt;= 2, 16, 18),
    "无效传感器尺寸"
)</f>
        <v>4.2184935000000001</v>
      </c>
      <c r="AB4" s="1" t="str">
        <f t="shared" ref="AB4" si="5">"f/" &amp; TEXT(VALUE(SUBSTITUTE(Y4,"f/","")) * Z4, "0.0")</f>
        <v>f/11.0</v>
      </c>
      <c r="AC4" s="1" t="s">
        <v>7</v>
      </c>
      <c r="AD4" s="1" t="s">
        <v>6</v>
      </c>
      <c r="AE4" s="3">
        <v>135</v>
      </c>
      <c r="AF4" s="3"/>
      <c r="AG4" s="1" t="s">
        <v>100</v>
      </c>
      <c r="AH4" s="1">
        <f>IFERROR(
    43.2666 * VALUE(MID(AD4, FIND("/", AD4) + 1, LEN(AD4) - FIND("/", AD4))) /
    IF(VALUE(MID(AD4, FIND("/", AD4) + 1, LEN(AD4) - FIND("/", AD4))) &lt;= 2, 16, 18),
    "无效传感器尺寸"
)</f>
        <v>6.0332869999999987</v>
      </c>
      <c r="AJ4" s="1" t="str">
        <f t="shared" ref="AJ4" si="6">"f/" &amp; TEXT(VALUE(SUBSTITUTE(AG4,"f/","")) * AH4, "0.0")</f>
        <v>f/25.9</v>
      </c>
    </row>
    <row r="5" spans="2:36" ht="28" x14ac:dyDescent="0.3">
      <c r="B5" s="1" t="s">
        <v>105</v>
      </c>
      <c r="C5" s="5" t="s">
        <v>113</v>
      </c>
      <c r="D5" s="1" t="s">
        <v>51</v>
      </c>
      <c r="E5" s="1" t="s">
        <v>44</v>
      </c>
      <c r="F5" s="1" t="s">
        <v>102</v>
      </c>
      <c r="G5" s="3">
        <v>15</v>
      </c>
      <c r="I5" s="1" t="s">
        <v>84</v>
      </c>
      <c r="J5" s="1">
        <f t="shared" si="0"/>
        <v>6.6101749999999999</v>
      </c>
      <c r="L5" s="1" t="str">
        <f t="shared" si="1"/>
        <v>f/13.2</v>
      </c>
      <c r="M5" s="1" t="s">
        <v>101</v>
      </c>
      <c r="N5" s="1" t="s">
        <v>55</v>
      </c>
      <c r="O5" s="3">
        <v>24</v>
      </c>
      <c r="Q5" s="1" t="s">
        <v>53</v>
      </c>
      <c r="R5" s="1">
        <f t="shared" si="2"/>
        <v>4.2184935000000001</v>
      </c>
      <c r="T5" s="1" t="str">
        <f t="shared" si="3"/>
        <v>f/7.6</v>
      </c>
      <c r="U5" t="s">
        <v>85</v>
      </c>
      <c r="V5" s="1" t="s">
        <v>86</v>
      </c>
      <c r="W5" s="3">
        <v>73</v>
      </c>
      <c r="X5" s="3"/>
      <c r="Y5" s="1" t="s">
        <v>42</v>
      </c>
      <c r="Z5" s="1">
        <f>IFERROR(
    43.2666 * VALUE(MID(V5, FIND("/", V5) + 1, LEN(V5) - FIND("/", V5))) /
    IF(VALUE(MID(V5, FIND("/", V5) + 1, LEN(V5) - FIND("/", V5))) &lt;= 2, 16, 18),
    "无效传感器尺寸"
)</f>
        <v>5.2731168749999995</v>
      </c>
      <c r="AB5" s="1" t="str">
        <f>"f/" &amp; TEXT(VALUE(SUBSTITUTE(Y5,"f/","")) * Z5, "0.0")</f>
        <v>f/13.7</v>
      </c>
    </row>
    <row r="6" spans="2:36" ht="28" x14ac:dyDescent="0.3">
      <c r="B6" s="1" t="s">
        <v>104</v>
      </c>
      <c r="C6" s="5" t="s">
        <v>110</v>
      </c>
      <c r="D6" s="1" t="s">
        <v>36</v>
      </c>
      <c r="E6" s="1" t="s">
        <v>44</v>
      </c>
      <c r="F6" s="1" t="s">
        <v>102</v>
      </c>
      <c r="G6" s="3">
        <v>15</v>
      </c>
      <c r="I6" s="1" t="s">
        <v>84</v>
      </c>
      <c r="J6" s="1">
        <f t="shared" si="0"/>
        <v>6.6101749999999999</v>
      </c>
      <c r="L6" s="1" t="str">
        <f t="shared" si="1"/>
        <v>f/13.2</v>
      </c>
      <c r="M6" s="1" t="s">
        <v>39</v>
      </c>
      <c r="N6" s="1" t="s">
        <v>35</v>
      </c>
      <c r="O6" s="3">
        <v>23</v>
      </c>
      <c r="Q6" s="1" t="s">
        <v>53</v>
      </c>
      <c r="R6" s="1">
        <f>IFERROR(
    43.2666 * VALUE(MID(N6, FIND("/", N6) + 1, LEN(N6) - FIND("/", N6))) /
    IF(VALUE(MID(N6, FIND("/", N6) + 1, LEN(N6) - FIND("/", N6))) &lt;= 2, 16, 18),
    "无效传感器尺寸"
)</f>
        <v>2.6500792499999997</v>
      </c>
      <c r="T6" s="1" t="str">
        <f t="shared" si="3"/>
        <v>f/4.8</v>
      </c>
      <c r="U6" t="s">
        <v>101</v>
      </c>
      <c r="V6" s="1" t="s">
        <v>55</v>
      </c>
      <c r="W6" s="3">
        <v>70</v>
      </c>
      <c r="X6" s="3"/>
      <c r="Y6" s="1" t="s">
        <v>88</v>
      </c>
      <c r="Z6" s="1">
        <f>IFERROR(
    43.2666 * VALUE(MID(V6, FIND("/", V6) + 1, LEN(V6) - FIND("/", V6))) /
    IF(VALUE(MID(V6, FIND("/", V6) + 1, LEN(V6) - FIND("/", V6))) &lt;= 2, 16, 18),
    "无效传感器尺寸"
)</f>
        <v>4.2184935000000001</v>
      </c>
      <c r="AB6" s="1" t="str">
        <f>"f/" &amp; TEXT(VALUE(SUBSTITUTE(Y6,"f/","")) * Z6, "0.0")</f>
        <v>f/11.3</v>
      </c>
      <c r="AC6" t="s">
        <v>85</v>
      </c>
      <c r="AD6" s="1" t="s">
        <v>86</v>
      </c>
      <c r="AE6" s="1">
        <v>135</v>
      </c>
      <c r="AG6" s="1" t="s">
        <v>103</v>
      </c>
      <c r="AH6" s="1">
        <f>IFERROR(
    43.2666 * VALUE(MID(AD6, FIND("/", AD6) + 1, LEN(AD6) - FIND("/", AD6))) /
    IF(VALUE(MID(AD6, FIND("/", AD6) + 1, LEN(AD6) - FIND("/", AD6))) &lt;= 2, 16, 18),
    "无效传感器尺寸"
)</f>
        <v>5.2731168749999995</v>
      </c>
      <c r="AJ6" s="1" t="str">
        <f>"f/" &amp; TEXT(VALUE(SUBSTITUTE(AG6,"f/","")) * AH6, "0.0")</f>
        <v>f/16.9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DFCDA-E210-4970-B6B7-B3CD59CC7634}">
  <dimension ref="B2:AJ6"/>
  <sheetViews>
    <sheetView workbookViewId="0">
      <selection activeCell="C5" sqref="C5"/>
    </sheetView>
  </sheetViews>
  <sheetFormatPr defaultColWidth="5.58203125" defaultRowHeight="14" x14ac:dyDescent="0.3"/>
  <cols>
    <col min="1" max="1" width="5.58203125" style="1"/>
    <col min="2" max="2" width="8.58203125" style="1" customWidth="1"/>
    <col min="3" max="3" width="14.25" style="1" customWidth="1"/>
    <col min="4" max="36" width="8.58203125" style="1" customWidth="1"/>
    <col min="37" max="16384" width="5.58203125" style="1"/>
  </cols>
  <sheetData>
    <row r="2" spans="2:36" ht="56" x14ac:dyDescent="0.3">
      <c r="B2" s="1" t="s">
        <v>0</v>
      </c>
      <c r="C2" s="1" t="s">
        <v>32</v>
      </c>
      <c r="D2" s="1" t="s">
        <v>33</v>
      </c>
      <c r="E2" s="1" t="s">
        <v>2</v>
      </c>
      <c r="F2" s="1" t="s">
        <v>8</v>
      </c>
      <c r="G2" s="1" t="s">
        <v>23</v>
      </c>
      <c r="H2" s="1" t="s">
        <v>56</v>
      </c>
      <c r="I2" s="1" t="s">
        <v>19</v>
      </c>
      <c r="J2" s="1" t="s">
        <v>24</v>
      </c>
      <c r="K2" s="1" t="s">
        <v>12</v>
      </c>
      <c r="L2" s="1" t="s">
        <v>26</v>
      </c>
      <c r="M2" s="1" t="s">
        <v>3</v>
      </c>
      <c r="N2" s="1" t="s">
        <v>9</v>
      </c>
      <c r="O2" s="1" t="s">
        <v>14</v>
      </c>
      <c r="P2" s="1" t="s">
        <v>57</v>
      </c>
      <c r="Q2" s="1" t="s">
        <v>20</v>
      </c>
      <c r="R2" s="1" t="s">
        <v>25</v>
      </c>
      <c r="S2" s="1" t="s">
        <v>13</v>
      </c>
      <c r="T2" s="1" t="s">
        <v>27</v>
      </c>
      <c r="U2" s="1" t="s">
        <v>4</v>
      </c>
      <c r="V2" s="1" t="s">
        <v>10</v>
      </c>
      <c r="W2" s="1" t="s">
        <v>16</v>
      </c>
      <c r="X2" s="1" t="s">
        <v>60</v>
      </c>
      <c r="Y2" s="1" t="s">
        <v>21</v>
      </c>
      <c r="Z2" s="1" t="s">
        <v>28</v>
      </c>
      <c r="AA2" s="1" t="s">
        <v>15</v>
      </c>
      <c r="AB2" s="1" t="s">
        <v>29</v>
      </c>
      <c r="AC2" s="1" t="s">
        <v>5</v>
      </c>
      <c r="AD2" s="1" t="s">
        <v>11</v>
      </c>
      <c r="AE2" s="1" t="s">
        <v>18</v>
      </c>
      <c r="AF2" s="1" t="s">
        <v>61</v>
      </c>
      <c r="AG2" s="1" t="s">
        <v>22</v>
      </c>
      <c r="AH2" s="1" t="s">
        <v>30</v>
      </c>
      <c r="AI2" s="1" t="s">
        <v>17</v>
      </c>
      <c r="AJ2" s="1" t="s">
        <v>31</v>
      </c>
    </row>
    <row r="3" spans="2:36" ht="28" x14ac:dyDescent="0.3">
      <c r="B3" s="1" t="s">
        <v>108</v>
      </c>
      <c r="C3" s="5" t="s">
        <v>111</v>
      </c>
      <c r="D3" s="1" t="s">
        <v>36</v>
      </c>
      <c r="E3" t="s">
        <v>85</v>
      </c>
      <c r="F3" s="1" t="s">
        <v>86</v>
      </c>
      <c r="G3" s="3">
        <v>14</v>
      </c>
      <c r="I3" s="1" t="s">
        <v>99</v>
      </c>
      <c r="J3" s="1">
        <f t="shared" ref="J3:J5" si="0">IFERROR(
    43.2666 * VALUE(MID(F3, FIND("/", F3) + 1, LEN(F3) - FIND("/", F3))) /
    IF(VALUE(MID(F3, FIND("/", F3) + 1, LEN(F3) - FIND("/", F3))) &lt;= 2, 16, 18),
    "无效传感器尺寸"
)</f>
        <v>5.2731168749999995</v>
      </c>
      <c r="L3" s="1" t="str">
        <f t="shared" ref="L3:L5" si="1">"f/" &amp; TEXT(VALUE(SUBSTITUTE(I3,"f/","")) * J3, "0.0")</f>
        <v>f/10.3</v>
      </c>
      <c r="M3" s="1" t="s">
        <v>39</v>
      </c>
      <c r="N3" s="1" t="s">
        <v>35</v>
      </c>
      <c r="O3" s="3">
        <v>23</v>
      </c>
      <c r="Q3" s="1" t="s">
        <v>53</v>
      </c>
      <c r="R3" s="1">
        <f t="shared" ref="R3:R4" si="2">IFERROR(
    43.2666 * VALUE(MID(N3, FIND("/", N3) + 1, LEN(N3) - FIND("/", N3))) /
    IF(VALUE(MID(N3, FIND("/", N3) + 1, LEN(N3) - FIND("/", N3))) &lt;= 2, 16, 18),
    "无效传感器尺寸"
)</f>
        <v>2.6500792499999997</v>
      </c>
      <c r="T3" s="1" t="str">
        <f t="shared" ref="T3:T5" si="3">"f/" &amp; TEXT(VALUE(SUBSTITUTE(Q3,"f/","")) * R3, "0.0")</f>
        <v>f/4.8</v>
      </c>
      <c r="U3" s="1" t="s">
        <v>52</v>
      </c>
      <c r="V3" s="1" t="s">
        <v>55</v>
      </c>
      <c r="W3" s="3">
        <v>65</v>
      </c>
      <c r="X3" s="3"/>
      <c r="Y3" t="s">
        <v>42</v>
      </c>
      <c r="Z3" s="1">
        <f t="shared" ref="Z3" si="4">IFERROR(
    43.2666 * VALUE(MID(V3, FIND("/", V3) + 1, LEN(V3) - FIND("/", V3))) /
    IF(VALUE(MID(V3, FIND("/", V3) + 1, LEN(V3) - FIND("/", V3))) &lt;= 2, 16, 18),
    "无效传感器尺寸"
)</f>
        <v>4.2184935000000001</v>
      </c>
      <c r="AB3" s="1" t="str">
        <f t="shared" ref="AB3" si="5">"f/" &amp; TEXT(VALUE(SUBSTITUTE(Y3,"f/","")) * Z3, "0.0")</f>
        <v>f/11.0</v>
      </c>
      <c r="AC3" s="1" t="s">
        <v>7</v>
      </c>
      <c r="AD3" s="1" t="s">
        <v>6</v>
      </c>
      <c r="AE3" s="3">
        <v>135</v>
      </c>
      <c r="AF3" s="3"/>
      <c r="AG3" s="1" t="s">
        <v>100</v>
      </c>
      <c r="AH3" s="1">
        <f>IFERROR(
    43.2666 * VALUE(MID(AD3, FIND("/", AD3) + 1, LEN(AD3) - FIND("/", AD3))) /
    IF(VALUE(MID(AD3, FIND("/", AD3) + 1, LEN(AD3) - FIND("/", AD3))) &lt;= 2, 16, 18),
    "无效传感器尺寸"
)</f>
        <v>6.0332869999999987</v>
      </c>
      <c r="AJ3" s="1" t="str">
        <f t="shared" ref="AJ3" si="6">"f/" &amp; TEXT(VALUE(SUBSTITUTE(AG3,"f/","")) * AH3, "0.0")</f>
        <v>f/25.9</v>
      </c>
    </row>
    <row r="4" spans="2:36" ht="28" x14ac:dyDescent="0.3">
      <c r="B4" s="1" t="s">
        <v>109</v>
      </c>
      <c r="C4" s="5" t="s">
        <v>112</v>
      </c>
      <c r="D4" s="1" t="s">
        <v>51</v>
      </c>
      <c r="E4" s="1" t="s">
        <v>44</v>
      </c>
      <c r="F4" s="1" t="s">
        <v>102</v>
      </c>
      <c r="G4" s="3">
        <v>15</v>
      </c>
      <c r="I4" s="1" t="s">
        <v>84</v>
      </c>
      <c r="J4" s="1">
        <f t="shared" si="0"/>
        <v>6.6101749999999999</v>
      </c>
      <c r="L4" s="1" t="str">
        <f t="shared" si="1"/>
        <v>f/13.2</v>
      </c>
      <c r="M4" s="1" t="s">
        <v>101</v>
      </c>
      <c r="N4" s="1" t="s">
        <v>55</v>
      </c>
      <c r="O4" s="3">
        <v>24</v>
      </c>
      <c r="Q4" s="1" t="s">
        <v>53</v>
      </c>
      <c r="R4" s="1">
        <f t="shared" si="2"/>
        <v>4.2184935000000001</v>
      </c>
      <c r="T4" s="1" t="str">
        <f t="shared" si="3"/>
        <v>f/7.6</v>
      </c>
      <c r="U4" t="s">
        <v>85</v>
      </c>
      <c r="V4" s="1" t="s">
        <v>86</v>
      </c>
      <c r="W4" s="3">
        <v>73</v>
      </c>
      <c r="X4" s="3"/>
      <c r="Y4" s="1" t="s">
        <v>42</v>
      </c>
      <c r="Z4" s="1">
        <f>IFERROR(
    43.2666 * VALUE(MID(V4, FIND("/", V4) + 1, LEN(V4) - FIND("/", V4))) /
    IF(VALUE(MID(V4, FIND("/", V4) + 1, LEN(V4) - FIND("/", V4))) &lt;= 2, 16, 18),
    "无效传感器尺寸"
)</f>
        <v>5.2731168749999995</v>
      </c>
      <c r="AB4" s="1" t="str">
        <f>"f/" &amp; TEXT(VALUE(SUBSTITUTE(Y4,"f/","")) * Z4, "0.0")</f>
        <v>f/13.7</v>
      </c>
    </row>
    <row r="5" spans="2:36" ht="28" x14ac:dyDescent="0.3">
      <c r="B5" s="1" t="s">
        <v>107</v>
      </c>
      <c r="C5" s="5" t="s">
        <v>113</v>
      </c>
      <c r="D5" s="1" t="s">
        <v>36</v>
      </c>
      <c r="E5" s="1" t="s">
        <v>44</v>
      </c>
      <c r="F5" s="1" t="s">
        <v>102</v>
      </c>
      <c r="G5" s="3">
        <v>15</v>
      </c>
      <c r="I5" s="1" t="s">
        <v>84</v>
      </c>
      <c r="J5" s="1">
        <f t="shared" si="0"/>
        <v>6.6101749999999999</v>
      </c>
      <c r="L5" s="1" t="str">
        <f t="shared" si="1"/>
        <v>f/13.2</v>
      </c>
      <c r="M5" s="1" t="s">
        <v>39</v>
      </c>
      <c r="N5" s="1" t="s">
        <v>35</v>
      </c>
      <c r="O5" s="3">
        <v>23</v>
      </c>
      <c r="Q5" s="1" t="s">
        <v>53</v>
      </c>
      <c r="R5" s="1">
        <f>IFERROR(
    43.2666 * VALUE(MID(N5, FIND("/", N5) + 1, LEN(N5) - FIND("/", N5))) /
    IF(VALUE(MID(N5, FIND("/", N5) + 1, LEN(N5) - FIND("/", N5))) &lt;= 2, 16, 18),
    "无效传感器尺寸"
)</f>
        <v>2.6500792499999997</v>
      </c>
      <c r="T5" s="1" t="str">
        <f t="shared" si="3"/>
        <v>f/4.8</v>
      </c>
      <c r="U5" t="s">
        <v>101</v>
      </c>
      <c r="V5" s="1" t="s">
        <v>55</v>
      </c>
      <c r="W5" s="3">
        <v>70</v>
      </c>
      <c r="X5" s="3"/>
      <c r="Y5" s="1" t="s">
        <v>88</v>
      </c>
      <c r="Z5" s="1">
        <f>IFERROR(
    43.2666 * VALUE(MID(V5, FIND("/", V5) + 1, LEN(V5) - FIND("/", V5))) /
    IF(VALUE(MID(V5, FIND("/", V5) + 1, LEN(V5) - FIND("/", V5))) &lt;= 2, 16, 18),
    "无效传感器尺寸"
)</f>
        <v>4.2184935000000001</v>
      </c>
      <c r="AB5" s="1" t="str">
        <f>"f/" &amp; TEXT(VALUE(SUBSTITUTE(Y5,"f/","")) * Z5, "0.0")</f>
        <v>f/11.3</v>
      </c>
      <c r="AC5" t="s">
        <v>85</v>
      </c>
      <c r="AD5" s="1" t="s">
        <v>86</v>
      </c>
      <c r="AE5" s="1">
        <v>135</v>
      </c>
      <c r="AG5" s="1" t="s">
        <v>103</v>
      </c>
      <c r="AH5" s="1">
        <f>IFERROR(
    43.2666 * VALUE(MID(AD5, FIND("/", AD5) + 1, LEN(AD5) - FIND("/", AD5))) /
    IF(VALUE(MID(AD5, FIND("/", AD5) + 1, LEN(AD5) - FIND("/", AD5))) &lt;= 2, 16, 18),
    "无效传感器尺寸"
)</f>
        <v>5.2731168749999995</v>
      </c>
      <c r="AJ5" s="1" t="str">
        <f>"f/" &amp; TEXT(VALUE(SUBSTITUTE(AG5,"f/","")) * AH5, "0.0")</f>
        <v>f/16.9</v>
      </c>
    </row>
    <row r="6" spans="2:36" x14ac:dyDescent="0.3">
      <c r="C6" s="6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小米机型</vt:lpstr>
      <vt:lpstr>VIVO机型</vt:lpstr>
      <vt:lpstr>OPPO机型</vt:lpstr>
      <vt:lpstr>苹果机型</vt:lpstr>
      <vt:lpstr>三星机型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</dc:creator>
  <cp:lastModifiedBy>Hans Liu</cp:lastModifiedBy>
  <dcterms:created xsi:type="dcterms:W3CDTF">2015-06-05T18:19:34Z</dcterms:created>
  <dcterms:modified xsi:type="dcterms:W3CDTF">2025-06-02T17:17:25Z</dcterms:modified>
</cp:coreProperties>
</file>