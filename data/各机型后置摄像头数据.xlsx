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ans\Desktop\手机传感器等效光圈大小\phone-camera-aperture\data\"/>
    </mc:Choice>
  </mc:AlternateContent>
  <xr:revisionPtr revIDLastSave="0" documentId="13_ncr:1_{66FDBB37-38FB-4205-9DCA-660C80BBE4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小米机型" sheetId="7" r:id="rId1"/>
    <sheet name="VIVO机型" sheetId="15" r:id="rId2"/>
    <sheet name="OPPO机型" sheetId="9" r:id="rId3"/>
    <sheet name="苹果机型" sheetId="10" r:id="rId4"/>
    <sheet name="三星机型" sheetId="11" r:id="rId5"/>
    <sheet name="华为机型" sheetId="12" r:id="rId6"/>
    <sheet name="荣耀机型" sheetId="13" r:id="rId7"/>
    <sheet name="努比亚机型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7" l="1"/>
  <c r="K5" i="7" s="1"/>
  <c r="AD8" i="15"/>
  <c r="AF8" i="15" s="1"/>
  <c r="W8" i="15"/>
  <c r="Y8" i="15" s="1"/>
  <c r="P8" i="15"/>
  <c r="R8" i="15" s="1"/>
  <c r="I8" i="15"/>
  <c r="K8" i="15" s="1"/>
  <c r="AD7" i="15"/>
  <c r="AF7" i="15" s="1"/>
  <c r="W7" i="15"/>
  <c r="Y7" i="15" s="1"/>
  <c r="P7" i="15"/>
  <c r="R7" i="15" s="1"/>
  <c r="I7" i="15"/>
  <c r="K7" i="15" s="1"/>
  <c r="AD6" i="15"/>
  <c r="AF6" i="15" s="1"/>
  <c r="W6" i="15"/>
  <c r="Y6" i="15" s="1"/>
  <c r="P6" i="15"/>
  <c r="R6" i="15" s="1"/>
  <c r="I6" i="15"/>
  <c r="K6" i="15" s="1"/>
  <c r="AD5" i="15"/>
  <c r="AF5" i="15" s="1"/>
  <c r="W5" i="15"/>
  <c r="Y5" i="15" s="1"/>
  <c r="P5" i="15"/>
  <c r="R5" i="15" s="1"/>
  <c r="I5" i="15"/>
  <c r="K5" i="15" s="1"/>
  <c r="AD4" i="15"/>
  <c r="AF4" i="15" s="1"/>
  <c r="W4" i="15"/>
  <c r="Y4" i="15" s="1"/>
  <c r="P4" i="15"/>
  <c r="R4" i="15" s="1"/>
  <c r="I4" i="15"/>
  <c r="K4" i="15" s="1"/>
  <c r="AD3" i="15"/>
  <c r="AF3" i="15" s="1"/>
  <c r="W3" i="15"/>
  <c r="Y3" i="15" s="1"/>
  <c r="R3" i="15"/>
  <c r="P3" i="15"/>
  <c r="I3" i="15"/>
  <c r="K3" i="15" s="1"/>
  <c r="AD8" i="14"/>
  <c r="AF8" i="14" s="1"/>
  <c r="Y8" i="14"/>
  <c r="W8" i="14"/>
  <c r="R8" i="14"/>
  <c r="P8" i="14"/>
  <c r="K8" i="14"/>
  <c r="I8" i="14"/>
  <c r="AD7" i="14"/>
  <c r="AF7" i="14" s="1"/>
  <c r="W7" i="14"/>
  <c r="Y7" i="14" s="1"/>
  <c r="P7" i="14"/>
  <c r="R7" i="14" s="1"/>
  <c r="I7" i="14"/>
  <c r="K7" i="14" s="1"/>
  <c r="AD6" i="14"/>
  <c r="AF6" i="14" s="1"/>
  <c r="W6" i="14"/>
  <c r="Y6" i="14" s="1"/>
  <c r="P6" i="14"/>
  <c r="R6" i="14" s="1"/>
  <c r="I6" i="14"/>
  <c r="K6" i="14" s="1"/>
  <c r="AD5" i="14"/>
  <c r="AF5" i="14" s="1"/>
  <c r="Y5" i="14"/>
  <c r="W5" i="14"/>
  <c r="R5" i="14"/>
  <c r="P5" i="14"/>
  <c r="K5" i="14"/>
  <c r="I5" i="14"/>
  <c r="AD4" i="14"/>
  <c r="AF4" i="14" s="1"/>
  <c r="W4" i="14"/>
  <c r="Y4" i="14" s="1"/>
  <c r="P4" i="14"/>
  <c r="R4" i="14" s="1"/>
  <c r="I4" i="14"/>
  <c r="K4" i="14" s="1"/>
  <c r="AD3" i="14"/>
  <c r="AF3" i="14" s="1"/>
  <c r="W3" i="14"/>
  <c r="Y3" i="14" s="1"/>
  <c r="P3" i="14"/>
  <c r="R3" i="14" s="1"/>
  <c r="I3" i="14"/>
  <c r="K3" i="14" s="1"/>
  <c r="AD6" i="13"/>
  <c r="AF6" i="13" s="1"/>
  <c r="W6" i="13"/>
  <c r="Y6" i="13" s="1"/>
  <c r="P6" i="13"/>
  <c r="R6" i="13" s="1"/>
  <c r="I6" i="13"/>
  <c r="K6" i="13" s="1"/>
  <c r="AD5" i="13"/>
  <c r="AF5" i="13" s="1"/>
  <c r="W5" i="13"/>
  <c r="Y5" i="13" s="1"/>
  <c r="P5" i="13"/>
  <c r="R5" i="13" s="1"/>
  <c r="I5" i="13"/>
  <c r="K5" i="13" s="1"/>
  <c r="AD4" i="13"/>
  <c r="AF4" i="13" s="1"/>
  <c r="W4" i="13"/>
  <c r="Y4" i="13" s="1"/>
  <c r="P4" i="13"/>
  <c r="R4" i="13" s="1"/>
  <c r="I4" i="13"/>
  <c r="K4" i="13" s="1"/>
  <c r="AD3" i="13"/>
  <c r="AF3" i="13" s="1"/>
  <c r="W3" i="13"/>
  <c r="Y3" i="13" s="1"/>
  <c r="P3" i="13"/>
  <c r="R3" i="13" s="1"/>
  <c r="I3" i="13"/>
  <c r="K3" i="13" s="1"/>
  <c r="AD6" i="12"/>
  <c r="AF6" i="12" s="1"/>
  <c r="W6" i="12"/>
  <c r="Y6" i="12" s="1"/>
  <c r="P6" i="12"/>
  <c r="R6" i="12" s="1"/>
  <c r="I6" i="12"/>
  <c r="K6" i="12" s="1"/>
  <c r="AD5" i="12"/>
  <c r="AF5" i="12" s="1"/>
  <c r="Y5" i="12"/>
  <c r="W5" i="12"/>
  <c r="P5" i="12"/>
  <c r="R5" i="12" s="1"/>
  <c r="I5" i="12"/>
  <c r="K5" i="12" s="1"/>
  <c r="AD4" i="12"/>
  <c r="AF4" i="12" s="1"/>
  <c r="W4" i="12"/>
  <c r="Y4" i="12" s="1"/>
  <c r="P4" i="12"/>
  <c r="R4" i="12" s="1"/>
  <c r="I4" i="12"/>
  <c r="K4" i="12" s="1"/>
  <c r="AD3" i="12"/>
  <c r="AF3" i="12" s="1"/>
  <c r="W3" i="12"/>
  <c r="Y3" i="12" s="1"/>
  <c r="P3" i="12"/>
  <c r="R3" i="12" s="1"/>
  <c r="I3" i="12"/>
  <c r="K3" i="12" s="1"/>
  <c r="AD5" i="11"/>
  <c r="AF5" i="11" s="1"/>
  <c r="W5" i="11"/>
  <c r="Y5" i="11" s="1"/>
  <c r="P5" i="11"/>
  <c r="R5" i="11" s="1"/>
  <c r="I5" i="11"/>
  <c r="K5" i="11" s="1"/>
  <c r="AD4" i="11"/>
  <c r="AF4" i="11" s="1"/>
  <c r="W4" i="11"/>
  <c r="Y4" i="11" s="1"/>
  <c r="P4" i="11"/>
  <c r="R4" i="11" s="1"/>
  <c r="I4" i="11"/>
  <c r="K4" i="11" s="1"/>
  <c r="AD3" i="11"/>
  <c r="AF3" i="11" s="1"/>
  <c r="W3" i="11"/>
  <c r="Y3" i="11" s="1"/>
  <c r="P3" i="11"/>
  <c r="R3" i="11" s="1"/>
  <c r="I3" i="11"/>
  <c r="K3" i="11" s="1"/>
  <c r="AD7" i="10"/>
  <c r="AF7" i="10" s="1"/>
  <c r="W7" i="10"/>
  <c r="Y7" i="10" s="1"/>
  <c r="P7" i="10"/>
  <c r="R7" i="10" s="1"/>
  <c r="I7" i="10"/>
  <c r="K7" i="10" s="1"/>
  <c r="AD6" i="10"/>
  <c r="AF6" i="10" s="1"/>
  <c r="W6" i="10"/>
  <c r="Y6" i="10" s="1"/>
  <c r="P6" i="10"/>
  <c r="R6" i="10" s="1"/>
  <c r="I6" i="10"/>
  <c r="K6" i="10" s="1"/>
  <c r="AD5" i="10"/>
  <c r="AF5" i="10" s="1"/>
  <c r="W5" i="10"/>
  <c r="Y5" i="10" s="1"/>
  <c r="P5" i="10"/>
  <c r="R5" i="10" s="1"/>
  <c r="I5" i="10"/>
  <c r="K5" i="10" s="1"/>
  <c r="AD4" i="10"/>
  <c r="AF4" i="10" s="1"/>
  <c r="W4" i="10"/>
  <c r="Y4" i="10" s="1"/>
  <c r="P4" i="10"/>
  <c r="R4" i="10" s="1"/>
  <c r="I4" i="10"/>
  <c r="K4" i="10" s="1"/>
  <c r="AD3" i="10"/>
  <c r="AF3" i="10" s="1"/>
  <c r="W3" i="10"/>
  <c r="Y3" i="10" s="1"/>
  <c r="P3" i="10"/>
  <c r="R3" i="10" s="1"/>
  <c r="I3" i="10"/>
  <c r="K3" i="10" s="1"/>
  <c r="AD7" i="9"/>
  <c r="AF7" i="9" s="1"/>
  <c r="W7" i="9"/>
  <c r="Y7" i="9" s="1"/>
  <c r="P7" i="9"/>
  <c r="R7" i="9" s="1"/>
  <c r="I7" i="9"/>
  <c r="K7" i="9" s="1"/>
  <c r="AF6" i="9"/>
  <c r="AD6" i="9"/>
  <c r="W6" i="9"/>
  <c r="Y6" i="9" s="1"/>
  <c r="P6" i="9"/>
  <c r="R6" i="9" s="1"/>
  <c r="I6" i="9"/>
  <c r="K6" i="9" s="1"/>
  <c r="AD5" i="9"/>
  <c r="AF5" i="9" s="1"/>
  <c r="W5" i="9"/>
  <c r="Y5" i="9" s="1"/>
  <c r="P5" i="9"/>
  <c r="R5" i="9" s="1"/>
  <c r="I5" i="9"/>
  <c r="K5" i="9" s="1"/>
  <c r="AD4" i="9"/>
  <c r="AF4" i="9" s="1"/>
  <c r="W4" i="9"/>
  <c r="Y4" i="9" s="1"/>
  <c r="P4" i="9"/>
  <c r="R4" i="9" s="1"/>
  <c r="I4" i="9"/>
  <c r="K4" i="9" s="1"/>
  <c r="AD3" i="9"/>
  <c r="AF3" i="9" s="1"/>
  <c r="W3" i="9"/>
  <c r="Y3" i="9" s="1"/>
  <c r="P3" i="9"/>
  <c r="R3" i="9" s="1"/>
  <c r="I3" i="9"/>
  <c r="K3" i="9" s="1"/>
  <c r="AD5" i="7"/>
  <c r="AF5" i="7" s="1"/>
  <c r="W5" i="7"/>
  <c r="Y5" i="7" s="1"/>
  <c r="P5" i="7"/>
  <c r="R5" i="7" s="1"/>
  <c r="AD4" i="7"/>
  <c r="AF4" i="7" s="1"/>
  <c r="W4" i="7"/>
  <c r="Y4" i="7" s="1"/>
  <c r="P4" i="7"/>
  <c r="R4" i="7" s="1"/>
  <c r="I4" i="7"/>
  <c r="K4" i="7" s="1"/>
  <c r="AD3" i="7"/>
  <c r="AF3" i="7" s="1"/>
  <c r="W3" i="7"/>
  <c r="Y3" i="7" s="1"/>
  <c r="P3" i="7"/>
  <c r="R3" i="7" s="1"/>
  <c r="I3" i="7"/>
  <c r="K3" i="7" s="1"/>
</calcChain>
</file>

<file path=xl/sharedStrings.xml><?xml version="1.0" encoding="utf-8"?>
<sst xmlns="http://schemas.openxmlformats.org/spreadsheetml/2006/main" count="788" uniqueCount="87">
  <si>
    <t>名称</t>
    <phoneticPr fontId="1" type="noConversion"/>
  </si>
  <si>
    <t>小米13ultra</t>
    <phoneticPr fontId="1" type="noConversion"/>
  </si>
  <si>
    <t>超广角传感器型号</t>
    <phoneticPr fontId="1" type="noConversion"/>
  </si>
  <si>
    <t>主摄传感器型号</t>
  </si>
  <si>
    <t>长焦传感器型号</t>
  </si>
  <si>
    <t>超长焦传感器型号</t>
  </si>
  <si>
    <t>1/2.51</t>
    <phoneticPr fontId="1" type="noConversion"/>
  </si>
  <si>
    <t>Sony IMX858</t>
    <phoneticPr fontId="1" type="noConversion"/>
  </si>
  <si>
    <t>超广角传感器尺寸（英寸）</t>
  </si>
  <si>
    <t>主摄传感器尺寸（英寸）</t>
  </si>
  <si>
    <t>长焦传感器尺寸（英寸）</t>
  </si>
  <si>
    <t>超长焦传感器尺寸（英寸）</t>
  </si>
  <si>
    <t>超广角物理焦距（mm）</t>
  </si>
  <si>
    <t>主摄物理焦距（mm）</t>
  </si>
  <si>
    <t>主摄等效焦距（mm）</t>
  </si>
  <si>
    <t>长焦物理焦距（mm）</t>
  </si>
  <si>
    <t>长焦等效焦距（mm）</t>
  </si>
  <si>
    <t>超长焦物理焦距（mm）</t>
  </si>
  <si>
    <t>超长焦等效焦距（mm）</t>
  </si>
  <si>
    <t>超广角光圈（F）</t>
  </si>
  <si>
    <t>主摄光圈（F）</t>
  </si>
  <si>
    <t>长焦光圈（F）</t>
  </si>
  <si>
    <t>超长焦光圈（F）</t>
  </si>
  <si>
    <t>超广角等效焦距（mm）</t>
    <phoneticPr fontId="1" type="noConversion"/>
  </si>
  <si>
    <t>超广角转换系数</t>
    <phoneticPr fontId="1" type="noConversion"/>
  </si>
  <si>
    <t>主摄转换系数</t>
  </si>
  <si>
    <t>超广角等效光圈（F）</t>
    <phoneticPr fontId="1" type="noConversion"/>
  </si>
  <si>
    <t>主摄等效光圈（F）</t>
  </si>
  <si>
    <t>长焦转换系数</t>
  </si>
  <si>
    <t>长焦等效光圈（F）</t>
  </si>
  <si>
    <t>超长焦转换系数</t>
  </si>
  <si>
    <t>超长焦等效光圈（F）</t>
  </si>
  <si>
    <t>发布日期</t>
    <phoneticPr fontId="1" type="noConversion"/>
  </si>
  <si>
    <t>级别</t>
    <phoneticPr fontId="1" type="noConversion"/>
  </si>
  <si>
    <t>Sony IMX989</t>
    <phoneticPr fontId="1" type="noConversion"/>
  </si>
  <si>
    <t>1/0.98</t>
    <phoneticPr fontId="1" type="noConversion"/>
  </si>
  <si>
    <t>f1.8</t>
    <phoneticPr fontId="1" type="noConversion"/>
  </si>
  <si>
    <t>f1.9</t>
    <phoneticPr fontId="1" type="noConversion"/>
  </si>
  <si>
    <t>ultra</t>
    <phoneticPr fontId="1" type="noConversion"/>
  </si>
  <si>
    <t>2023年4月18日</t>
    <phoneticPr fontId="1" type="noConversion"/>
  </si>
  <si>
    <t>小米14ultra</t>
  </si>
  <si>
    <t>Sony LYT-900</t>
    <phoneticPr fontId="1" type="noConversion"/>
  </si>
  <si>
    <t>f1.63</t>
    <phoneticPr fontId="1" type="noConversion"/>
  </si>
  <si>
    <t>f2.2</t>
    <phoneticPr fontId="1" type="noConversion"/>
  </si>
  <si>
    <t>1/1.4</t>
    <phoneticPr fontId="1" type="noConversion"/>
  </si>
  <si>
    <t>f/3.0</t>
    <phoneticPr fontId="1" type="noConversion"/>
  </si>
  <si>
    <t>f/2.6</t>
    <phoneticPr fontId="1" type="noConversion"/>
  </si>
  <si>
    <t>1/2.76</t>
    <phoneticPr fontId="1" type="noConversion"/>
  </si>
  <si>
    <t>Samsung S5KJN5</t>
    <phoneticPr fontId="1" type="noConversion"/>
  </si>
  <si>
    <t>Samsung S5KHP9</t>
    <phoneticPr fontId="1" type="noConversion"/>
  </si>
  <si>
    <t>f/2.5</t>
    <phoneticPr fontId="1" type="noConversion"/>
  </si>
  <si>
    <t>2024 年 2 月 22 日</t>
    <phoneticPr fontId="1" type="noConversion"/>
  </si>
  <si>
    <t>2025 年 2 月 27 日</t>
    <phoneticPr fontId="1" type="noConversion"/>
  </si>
  <si>
    <t>Vivo X90pro</t>
  </si>
  <si>
    <t>Vivo X90pro+</t>
  </si>
  <si>
    <t>Vivo X100ultra</t>
  </si>
  <si>
    <t>Vivo X200pro</t>
  </si>
  <si>
    <t>Vivo X200ultra</t>
  </si>
  <si>
    <t>Vivo X100pro</t>
    <phoneticPr fontId="1" type="noConversion"/>
  </si>
  <si>
    <t>Oppo findx6pro</t>
    <phoneticPr fontId="1" type="noConversion"/>
  </si>
  <si>
    <t>Oppo findx7pro</t>
    <phoneticPr fontId="1" type="noConversion"/>
  </si>
  <si>
    <t>Oppo findx7ultra</t>
    <phoneticPr fontId="1" type="noConversion"/>
  </si>
  <si>
    <t>Oppo findx8ultra</t>
    <phoneticPr fontId="1" type="noConversion"/>
  </si>
  <si>
    <t>Oppo findx8pro</t>
    <phoneticPr fontId="1" type="noConversion"/>
  </si>
  <si>
    <t>iPhone14promax</t>
  </si>
  <si>
    <t>iPhone15promax</t>
    <phoneticPr fontId="1" type="noConversion"/>
  </si>
  <si>
    <t>iPhone15pro</t>
    <phoneticPr fontId="1" type="noConversion"/>
  </si>
  <si>
    <t>iPhone16pro（max）</t>
    <phoneticPr fontId="1" type="noConversion"/>
  </si>
  <si>
    <t>iPhone14pro</t>
    <phoneticPr fontId="1" type="noConversion"/>
  </si>
  <si>
    <t>S25</t>
    <phoneticPr fontId="1" type="noConversion"/>
  </si>
  <si>
    <t>Mate 60pro</t>
    <phoneticPr fontId="1" type="noConversion"/>
  </si>
  <si>
    <t>Mate 50pro</t>
    <phoneticPr fontId="1" type="noConversion"/>
  </si>
  <si>
    <t>P60pro</t>
    <phoneticPr fontId="1" type="noConversion"/>
  </si>
  <si>
    <t>P50pro</t>
    <phoneticPr fontId="1" type="noConversion"/>
  </si>
  <si>
    <t>Magic7RSR</t>
    <phoneticPr fontId="1" type="noConversion"/>
  </si>
  <si>
    <t>Magic7pro</t>
    <phoneticPr fontId="1" type="noConversion"/>
  </si>
  <si>
    <t>Magic6RSR</t>
    <phoneticPr fontId="1" type="noConversion"/>
  </si>
  <si>
    <t>Magic6pro</t>
    <phoneticPr fontId="1" type="noConversion"/>
  </si>
  <si>
    <t>Z70sultra</t>
    <phoneticPr fontId="1" type="noConversion"/>
  </si>
  <si>
    <t>Z70ultra</t>
    <phoneticPr fontId="1" type="noConversion"/>
  </si>
  <si>
    <t>Z60sultra</t>
    <phoneticPr fontId="1" type="noConversion"/>
  </si>
  <si>
    <t>Z60ultra</t>
    <phoneticPr fontId="1" type="noConversion"/>
  </si>
  <si>
    <t>Z50ultra</t>
    <phoneticPr fontId="1" type="noConversion"/>
  </si>
  <si>
    <t>Z50sultra</t>
    <phoneticPr fontId="1" type="noConversion"/>
  </si>
  <si>
    <t>小米15ultra</t>
    <phoneticPr fontId="1" type="noConversion"/>
  </si>
  <si>
    <t>S24</t>
    <phoneticPr fontId="1" type="noConversion"/>
  </si>
  <si>
    <t>S23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</si>
</sst>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E2DB-5AED-4766-823F-4BB84DB020B4}">
  <dimension ref="B2:AF5"/>
  <sheetViews>
    <sheetView tabSelected="1" zoomScale="75" workbookViewId="0">
      <selection activeCell="I13" sqref="I13"/>
    </sheetView>
  </sheetViews>
  <sheetFormatPr defaultColWidth="5.58203125" defaultRowHeight="14" x14ac:dyDescent="0.3"/>
  <cols>
    <col min="1" max="1" width="5.58203125" style="1"/>
    <col min="2" max="2" width="8.58203125" style="1" customWidth="1"/>
    <col min="3" max="3" width="13.1640625" style="1" customWidth="1"/>
    <col min="4" max="32" width="8.58203125" style="1" customWidth="1"/>
    <col min="33" max="16384" width="5.58203125" style="1"/>
  </cols>
  <sheetData>
    <row r="2" spans="2:32" ht="42" x14ac:dyDescent="0.3">
      <c r="B2" s="1" t="s">
        <v>0</v>
      </c>
      <c r="C2" s="1" t="s">
        <v>32</v>
      </c>
      <c r="D2" s="1" t="s">
        <v>33</v>
      </c>
      <c r="E2" s="1" t="s">
        <v>2</v>
      </c>
      <c r="F2" s="1" t="s">
        <v>8</v>
      </c>
      <c r="G2" s="1" t="s">
        <v>23</v>
      </c>
      <c r="H2" s="1" t="s">
        <v>19</v>
      </c>
      <c r="I2" s="1" t="s">
        <v>24</v>
      </c>
      <c r="J2" s="1" t="s">
        <v>12</v>
      </c>
      <c r="K2" s="1" t="s">
        <v>26</v>
      </c>
      <c r="L2" s="1" t="s">
        <v>3</v>
      </c>
      <c r="M2" s="1" t="s">
        <v>9</v>
      </c>
      <c r="N2" s="1" t="s">
        <v>14</v>
      </c>
      <c r="O2" s="1" t="s">
        <v>20</v>
      </c>
      <c r="P2" s="1" t="s">
        <v>25</v>
      </c>
      <c r="Q2" s="1" t="s">
        <v>13</v>
      </c>
      <c r="R2" s="1" t="s">
        <v>27</v>
      </c>
      <c r="S2" s="1" t="s">
        <v>4</v>
      </c>
      <c r="T2" s="1" t="s">
        <v>10</v>
      </c>
      <c r="U2" s="1" t="s">
        <v>16</v>
      </c>
      <c r="V2" s="1" t="s">
        <v>21</v>
      </c>
      <c r="W2" s="1" t="s">
        <v>28</v>
      </c>
      <c r="X2" s="1" t="s">
        <v>15</v>
      </c>
      <c r="Y2" s="1" t="s">
        <v>29</v>
      </c>
      <c r="Z2" s="1" t="s">
        <v>5</v>
      </c>
      <c r="AA2" s="1" t="s">
        <v>11</v>
      </c>
      <c r="AB2" s="1" t="s">
        <v>18</v>
      </c>
      <c r="AC2" s="1" t="s">
        <v>22</v>
      </c>
      <c r="AD2" s="1" t="s">
        <v>30</v>
      </c>
      <c r="AE2" s="1" t="s">
        <v>17</v>
      </c>
      <c r="AF2" s="1" t="s">
        <v>31</v>
      </c>
    </row>
    <row r="3" spans="2:32" ht="28" x14ac:dyDescent="0.3">
      <c r="B3" s="1" t="s">
        <v>1</v>
      </c>
      <c r="C3" s="2" t="s">
        <v>39</v>
      </c>
      <c r="D3" s="1" t="s">
        <v>38</v>
      </c>
      <c r="E3" s="1" t="s">
        <v>7</v>
      </c>
      <c r="F3" s="1" t="s">
        <v>6</v>
      </c>
      <c r="G3" s="1">
        <v>12</v>
      </c>
      <c r="H3" s="1" t="s">
        <v>36</v>
      </c>
      <c r="I3" s="1">
        <f t="shared" ref="I3:I5" si="0">G3/J3</f>
        <v>5.9113300492610845</v>
      </c>
      <c r="J3" s="1">
        <v>2.0299999999999998</v>
      </c>
      <c r="K3" s="1" t="str">
        <f t="shared" ref="K3:K5" si="1">"f/"&amp;TEXT(VALUE(SUBSTITUTE(H3,"f",""))*I3, "0.0")</f>
        <v>f/10.6</v>
      </c>
      <c r="L3" s="1" t="s">
        <v>34</v>
      </c>
      <c r="M3" s="1" t="s">
        <v>35</v>
      </c>
      <c r="N3" s="1">
        <v>23</v>
      </c>
      <c r="O3" s="1" t="s">
        <v>37</v>
      </c>
      <c r="P3" s="1">
        <f t="shared" ref="P3:P5" si="2">N3/Q3</f>
        <v>2.6436781609195403</v>
      </c>
      <c r="Q3" s="1">
        <v>8.6999999999999993</v>
      </c>
      <c r="R3" s="1" t="str">
        <f t="shared" ref="R3:R5" si="3">"f/"&amp;TEXT(VALUE(SUBSTITUTE(O3,"f",""))*P3, "0.0")</f>
        <v>f/5.0</v>
      </c>
      <c r="S3" s="1" t="s">
        <v>7</v>
      </c>
      <c r="T3" s="1" t="s">
        <v>6</v>
      </c>
      <c r="U3" s="1">
        <v>60</v>
      </c>
      <c r="V3" s="1" t="s">
        <v>36</v>
      </c>
      <c r="W3" s="1">
        <f t="shared" ref="W3:W5" si="4">U3/X3</f>
        <v>6.0790273556231007</v>
      </c>
      <c r="X3" s="1">
        <v>9.8699999999999992</v>
      </c>
      <c r="Y3" s="1" t="str">
        <f t="shared" ref="Y3:Y5" si="5">"f/"&amp;TEXT(VALUE(SUBSTITUTE(V3,"f",""))*W3, "0.0")</f>
        <v>f/10.9</v>
      </c>
      <c r="Z3" s="1" t="s">
        <v>7</v>
      </c>
      <c r="AA3" s="1" t="s">
        <v>6</v>
      </c>
      <c r="AB3" s="1">
        <v>120</v>
      </c>
      <c r="AC3" s="1" t="s">
        <v>45</v>
      </c>
      <c r="AD3" s="1">
        <f t="shared" ref="AD3:AD5" si="6">AB3/AE3</f>
        <v>6.1855670103092786</v>
      </c>
      <c r="AE3" s="1">
        <v>19.399999999999999</v>
      </c>
      <c r="AF3" s="1" t="str">
        <f>"f/"&amp;TEXT(VALUE(SUBSTITUTE(AC3,"f/",""))*AD3, "0.0")</f>
        <v>f/18.6</v>
      </c>
    </row>
    <row r="4" spans="2:32" ht="28" x14ac:dyDescent="0.3">
      <c r="B4" s="1" t="s">
        <v>40</v>
      </c>
      <c r="C4" s="2" t="s">
        <v>51</v>
      </c>
      <c r="D4" s="1" t="s">
        <v>38</v>
      </c>
      <c r="E4" s="1" t="s">
        <v>7</v>
      </c>
      <c r="F4" s="1" t="s">
        <v>6</v>
      </c>
      <c r="G4" s="1">
        <v>12</v>
      </c>
      <c r="H4" s="1" t="s">
        <v>36</v>
      </c>
      <c r="I4" s="1">
        <f t="shared" si="0"/>
        <v>5.9113300492610845</v>
      </c>
      <c r="J4" s="1">
        <v>2.0299999999999998</v>
      </c>
      <c r="K4" s="1" t="str">
        <f t="shared" si="1"/>
        <v>f/10.6</v>
      </c>
      <c r="L4" s="1" t="s">
        <v>41</v>
      </c>
      <c r="M4" s="1" t="s">
        <v>35</v>
      </c>
      <c r="N4" s="1">
        <v>23</v>
      </c>
      <c r="O4" s="1" t="s">
        <v>42</v>
      </c>
      <c r="P4" s="1">
        <f t="shared" si="2"/>
        <v>2.6436781609195403</v>
      </c>
      <c r="Q4" s="1">
        <v>8.6999999999999993</v>
      </c>
      <c r="R4" s="1" t="str">
        <f t="shared" si="3"/>
        <v>f/4.3</v>
      </c>
      <c r="S4" s="1" t="s">
        <v>7</v>
      </c>
      <c r="T4" s="1" t="s">
        <v>6</v>
      </c>
      <c r="U4" s="1">
        <v>75</v>
      </c>
      <c r="V4" s="1" t="s">
        <v>36</v>
      </c>
      <c r="W4" s="1">
        <f t="shared" si="4"/>
        <v>6.270903010033444</v>
      </c>
      <c r="X4" s="1">
        <v>11.96</v>
      </c>
      <c r="Y4" s="1" t="str">
        <f t="shared" si="5"/>
        <v>f/11.3</v>
      </c>
      <c r="Z4" s="1" t="s">
        <v>7</v>
      </c>
      <c r="AA4" s="1" t="s">
        <v>6</v>
      </c>
      <c r="AB4" s="1">
        <v>120</v>
      </c>
      <c r="AC4" s="1" t="s">
        <v>50</v>
      </c>
      <c r="AD4" s="1">
        <f t="shared" si="6"/>
        <v>6.1855670103092786</v>
      </c>
      <c r="AE4" s="1">
        <v>19.399999999999999</v>
      </c>
      <c r="AF4" s="1" t="str">
        <f t="shared" ref="AF4:AF5" si="7">"f/"&amp;TEXT(VALUE(SUBSTITUTE(AC4,"f/",""))*AD4, "0.0")</f>
        <v>f/15.5</v>
      </c>
    </row>
    <row r="5" spans="2:32" ht="28" x14ac:dyDescent="0.3">
      <c r="B5" s="1" t="s">
        <v>84</v>
      </c>
      <c r="C5" s="2" t="s">
        <v>52</v>
      </c>
      <c r="D5" s="1" t="s">
        <v>38</v>
      </c>
      <c r="E5" s="1" t="s">
        <v>48</v>
      </c>
      <c r="F5" s="1" t="s">
        <v>47</v>
      </c>
      <c r="G5" s="1">
        <v>14</v>
      </c>
      <c r="H5" s="1" t="s">
        <v>43</v>
      </c>
      <c r="I5" s="1">
        <f t="shared" si="0"/>
        <v>6.5727699530516439</v>
      </c>
      <c r="J5" s="1">
        <v>2.13</v>
      </c>
      <c r="K5" s="1" t="str">
        <f t="shared" si="1"/>
        <v>f/14.5</v>
      </c>
      <c r="L5" s="1" t="s">
        <v>41</v>
      </c>
      <c r="M5" s="1" t="s">
        <v>35</v>
      </c>
      <c r="N5" s="1">
        <v>23</v>
      </c>
      <c r="O5" s="1" t="s">
        <v>42</v>
      </c>
      <c r="P5" s="1">
        <f t="shared" si="2"/>
        <v>2.6376146788990824</v>
      </c>
      <c r="Q5" s="1">
        <v>8.7200000000000006</v>
      </c>
      <c r="R5" s="1" t="str">
        <f t="shared" si="3"/>
        <v>f/4.3</v>
      </c>
      <c r="S5" s="1" t="s">
        <v>7</v>
      </c>
      <c r="T5" s="1" t="s">
        <v>6</v>
      </c>
      <c r="U5" s="1">
        <v>70</v>
      </c>
      <c r="V5" s="1" t="s">
        <v>36</v>
      </c>
      <c r="W5" s="1">
        <f t="shared" si="4"/>
        <v>6.0869565217391308</v>
      </c>
      <c r="X5" s="1">
        <v>11.5</v>
      </c>
      <c r="Y5" s="1" t="str">
        <f t="shared" si="5"/>
        <v>f/11.0</v>
      </c>
      <c r="Z5" s="1" t="s">
        <v>49</v>
      </c>
      <c r="AA5" s="1" t="s">
        <v>44</v>
      </c>
      <c r="AB5" s="1">
        <v>100</v>
      </c>
      <c r="AC5" s="1" t="s">
        <v>46</v>
      </c>
      <c r="AD5" s="1">
        <f t="shared" si="6"/>
        <v>3.9840637450199199</v>
      </c>
      <c r="AE5" s="1">
        <v>25.1</v>
      </c>
      <c r="AF5" s="1" t="str">
        <f t="shared" si="7"/>
        <v>f/10.4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E3BF-56CF-4CBC-8484-C85B14C0DA95}">
  <dimension ref="B2:AF8"/>
  <sheetViews>
    <sheetView workbookViewId="0">
      <selection activeCell="D17" sqref="D17"/>
    </sheetView>
  </sheetViews>
  <sheetFormatPr defaultColWidth="5.58203125" defaultRowHeight="14" x14ac:dyDescent="0.3"/>
  <cols>
    <col min="1" max="1" width="5.58203125" style="1"/>
    <col min="2" max="2" width="8.58203125" style="1" customWidth="1"/>
    <col min="3" max="3" width="13.1640625" style="1" customWidth="1"/>
    <col min="4" max="32" width="8.58203125" style="1" customWidth="1"/>
    <col min="33" max="16384" width="5.58203125" style="1"/>
  </cols>
  <sheetData>
    <row r="2" spans="2:32" ht="42" x14ac:dyDescent="0.3">
      <c r="B2" s="1" t="s">
        <v>0</v>
      </c>
      <c r="C2" s="1" t="s">
        <v>32</v>
      </c>
      <c r="D2" s="1" t="s">
        <v>33</v>
      </c>
      <c r="E2" s="1" t="s">
        <v>2</v>
      </c>
      <c r="F2" s="1" t="s">
        <v>8</v>
      </c>
      <c r="G2" s="1" t="s">
        <v>23</v>
      </c>
      <c r="H2" s="1" t="s">
        <v>19</v>
      </c>
      <c r="I2" s="1" t="s">
        <v>24</v>
      </c>
      <c r="J2" s="1" t="s">
        <v>12</v>
      </c>
      <c r="K2" s="1" t="s">
        <v>26</v>
      </c>
      <c r="L2" s="1" t="s">
        <v>3</v>
      </c>
      <c r="M2" s="1" t="s">
        <v>9</v>
      </c>
      <c r="N2" s="1" t="s">
        <v>14</v>
      </c>
      <c r="O2" s="1" t="s">
        <v>20</v>
      </c>
      <c r="P2" s="1" t="s">
        <v>25</v>
      </c>
      <c r="Q2" s="1" t="s">
        <v>13</v>
      </c>
      <c r="R2" s="1" t="s">
        <v>27</v>
      </c>
      <c r="S2" s="1" t="s">
        <v>4</v>
      </c>
      <c r="T2" s="1" t="s">
        <v>10</v>
      </c>
      <c r="U2" s="1" t="s">
        <v>16</v>
      </c>
      <c r="V2" s="1" t="s">
        <v>21</v>
      </c>
      <c r="W2" s="1" t="s">
        <v>28</v>
      </c>
      <c r="X2" s="1" t="s">
        <v>15</v>
      </c>
      <c r="Y2" s="1" t="s">
        <v>29</v>
      </c>
      <c r="Z2" s="1" t="s">
        <v>5</v>
      </c>
      <c r="AA2" s="1" t="s">
        <v>11</v>
      </c>
      <c r="AB2" s="1" t="s">
        <v>18</v>
      </c>
      <c r="AC2" s="1" t="s">
        <v>22</v>
      </c>
      <c r="AD2" s="1" t="s">
        <v>30</v>
      </c>
      <c r="AE2" s="1" t="s">
        <v>17</v>
      </c>
      <c r="AF2" s="1" t="s">
        <v>31</v>
      </c>
    </row>
    <row r="3" spans="2:32" ht="28" x14ac:dyDescent="0.3">
      <c r="B3" s="1" t="s">
        <v>53</v>
      </c>
      <c r="C3" s="2" t="s">
        <v>39</v>
      </c>
      <c r="D3" s="1" t="s">
        <v>38</v>
      </c>
      <c r="E3" s="1" t="s">
        <v>7</v>
      </c>
      <c r="F3" s="1" t="s">
        <v>6</v>
      </c>
      <c r="G3" s="1">
        <v>12</v>
      </c>
      <c r="H3" s="1" t="s">
        <v>36</v>
      </c>
      <c r="I3" s="1">
        <f t="shared" ref="I3:I8" si="0">G3/J3</f>
        <v>5.9113300492610845</v>
      </c>
      <c r="J3" s="1">
        <v>2.0299999999999998</v>
      </c>
      <c r="K3" s="1" t="str">
        <f t="shared" ref="K3:K8" si="1">"f/"&amp;TEXT(VALUE(SUBSTITUTE(H3,"f",""))*I3, "0.0")</f>
        <v>f/10.6</v>
      </c>
      <c r="L3" s="1" t="s">
        <v>34</v>
      </c>
      <c r="M3" s="1" t="s">
        <v>35</v>
      </c>
      <c r="N3" s="1">
        <v>23</v>
      </c>
      <c r="O3" s="1" t="s">
        <v>37</v>
      </c>
      <c r="P3" s="1">
        <f t="shared" ref="P3:P8" si="2">N3/Q3</f>
        <v>2.6436781609195403</v>
      </c>
      <c r="Q3" s="1">
        <v>8.6999999999999993</v>
      </c>
      <c r="R3" s="1" t="str">
        <f t="shared" ref="R3:R8" si="3">"f/"&amp;TEXT(VALUE(SUBSTITUTE(O3,"f",""))*P3, "0.0")</f>
        <v>f/5.0</v>
      </c>
      <c r="S3" s="1" t="s">
        <v>7</v>
      </c>
      <c r="T3" s="1" t="s">
        <v>6</v>
      </c>
      <c r="U3" s="1">
        <v>60</v>
      </c>
      <c r="V3" s="1" t="s">
        <v>36</v>
      </c>
      <c r="W3" s="1">
        <f t="shared" ref="W3:W8" si="4">U3/X3</f>
        <v>6.0790273556231007</v>
      </c>
      <c r="X3" s="1">
        <v>9.8699999999999992</v>
      </c>
      <c r="Y3" s="1" t="str">
        <f t="shared" ref="Y3:Y8" si="5">"f/"&amp;TEXT(VALUE(SUBSTITUTE(V3,"f",""))*W3, "0.0")</f>
        <v>f/10.9</v>
      </c>
      <c r="Z3" s="1" t="s">
        <v>7</v>
      </c>
      <c r="AA3" s="1" t="s">
        <v>6</v>
      </c>
      <c r="AB3" s="1">
        <v>120</v>
      </c>
      <c r="AC3" s="1" t="s">
        <v>45</v>
      </c>
      <c r="AD3" s="1">
        <f t="shared" ref="AD3:AD8" si="6">AB3/AE3</f>
        <v>6.1855670103092786</v>
      </c>
      <c r="AE3" s="1">
        <v>19.399999999999999</v>
      </c>
      <c r="AF3" s="1" t="str">
        <f>"f/"&amp;TEXT(VALUE(SUBSTITUTE(AC3,"f/",""))*AD3, "0.0")</f>
        <v>f/18.6</v>
      </c>
    </row>
    <row r="4" spans="2:32" ht="28" x14ac:dyDescent="0.3">
      <c r="B4" s="1" t="s">
        <v>54</v>
      </c>
      <c r="C4" s="2" t="s">
        <v>39</v>
      </c>
      <c r="D4" s="1" t="s">
        <v>38</v>
      </c>
      <c r="E4" s="1" t="s">
        <v>7</v>
      </c>
      <c r="F4" s="1" t="s">
        <v>6</v>
      </c>
      <c r="G4" s="1">
        <v>12</v>
      </c>
      <c r="H4" s="1" t="s">
        <v>36</v>
      </c>
      <c r="I4" s="1">
        <f t="shared" si="0"/>
        <v>5.9113300492610845</v>
      </c>
      <c r="J4" s="1">
        <v>2.0299999999999998</v>
      </c>
      <c r="K4" s="1" t="str">
        <f t="shared" si="1"/>
        <v>f/10.6</v>
      </c>
      <c r="L4" s="1" t="s">
        <v>34</v>
      </c>
      <c r="M4" s="1" t="s">
        <v>35</v>
      </c>
      <c r="N4" s="1">
        <v>23</v>
      </c>
      <c r="O4" s="1" t="s">
        <v>37</v>
      </c>
      <c r="P4" s="1">
        <f t="shared" si="2"/>
        <v>2.6436781609195403</v>
      </c>
      <c r="Q4" s="1">
        <v>8.6999999999999993</v>
      </c>
      <c r="R4" s="1" t="str">
        <f t="shared" si="3"/>
        <v>f/5.0</v>
      </c>
      <c r="S4" s="1" t="s">
        <v>7</v>
      </c>
      <c r="T4" s="1" t="s">
        <v>6</v>
      </c>
      <c r="U4" s="1">
        <v>60</v>
      </c>
      <c r="V4" s="1" t="s">
        <v>36</v>
      </c>
      <c r="W4" s="1">
        <f t="shared" si="4"/>
        <v>6.0790273556231007</v>
      </c>
      <c r="X4" s="1">
        <v>9.8699999999999992</v>
      </c>
      <c r="Y4" s="1" t="str">
        <f t="shared" si="5"/>
        <v>f/10.9</v>
      </c>
      <c r="Z4" s="1" t="s">
        <v>7</v>
      </c>
      <c r="AA4" s="1" t="s">
        <v>6</v>
      </c>
      <c r="AB4" s="1">
        <v>120</v>
      </c>
      <c r="AC4" s="1" t="s">
        <v>45</v>
      </c>
      <c r="AD4" s="1">
        <f t="shared" si="6"/>
        <v>6.1855670103092786</v>
      </c>
      <c r="AE4" s="1">
        <v>19.399999999999999</v>
      </c>
      <c r="AF4" s="1" t="str">
        <f>"f/"&amp;TEXT(VALUE(SUBSTITUTE(AC4,"f/",""))*AD4, "0.0")</f>
        <v>f/18.6</v>
      </c>
    </row>
    <row r="5" spans="2:32" ht="28" x14ac:dyDescent="0.3">
      <c r="B5" s="1" t="s">
        <v>58</v>
      </c>
      <c r="C5" s="2" t="s">
        <v>51</v>
      </c>
      <c r="D5" s="1" t="s">
        <v>38</v>
      </c>
      <c r="E5" s="1" t="s">
        <v>7</v>
      </c>
      <c r="F5" s="1" t="s">
        <v>6</v>
      </c>
      <c r="G5" s="1">
        <v>12</v>
      </c>
      <c r="H5" s="1" t="s">
        <v>36</v>
      </c>
      <c r="I5" s="1">
        <f t="shared" si="0"/>
        <v>5.9113300492610845</v>
      </c>
      <c r="J5" s="1">
        <v>2.0299999999999998</v>
      </c>
      <c r="K5" s="1" t="str">
        <f t="shared" si="1"/>
        <v>f/10.6</v>
      </c>
      <c r="L5" s="1" t="s">
        <v>41</v>
      </c>
      <c r="M5" s="1" t="s">
        <v>35</v>
      </c>
      <c r="N5" s="1">
        <v>23</v>
      </c>
      <c r="O5" s="1" t="s">
        <v>42</v>
      </c>
      <c r="P5" s="1">
        <f t="shared" si="2"/>
        <v>2.6436781609195403</v>
      </c>
      <c r="Q5" s="1">
        <v>8.6999999999999993</v>
      </c>
      <c r="R5" s="1" t="str">
        <f t="shared" si="3"/>
        <v>f/4.3</v>
      </c>
      <c r="S5" s="1" t="s">
        <v>7</v>
      </c>
      <c r="T5" s="1" t="s">
        <v>6</v>
      </c>
      <c r="U5" s="1">
        <v>75</v>
      </c>
      <c r="V5" s="1" t="s">
        <v>36</v>
      </c>
      <c r="W5" s="1">
        <f t="shared" si="4"/>
        <v>6.270903010033444</v>
      </c>
      <c r="X5" s="1">
        <v>11.96</v>
      </c>
      <c r="Y5" s="1" t="str">
        <f t="shared" si="5"/>
        <v>f/11.3</v>
      </c>
      <c r="Z5" s="1" t="s">
        <v>7</v>
      </c>
      <c r="AA5" s="1" t="s">
        <v>6</v>
      </c>
      <c r="AB5" s="1">
        <v>120</v>
      </c>
      <c r="AC5" s="1" t="s">
        <v>50</v>
      </c>
      <c r="AD5" s="1">
        <f t="shared" si="6"/>
        <v>6.1855670103092786</v>
      </c>
      <c r="AE5" s="1">
        <v>19.399999999999999</v>
      </c>
      <c r="AF5" s="1" t="str">
        <f t="shared" ref="AF5:AF8" si="7">"f/"&amp;TEXT(VALUE(SUBSTITUTE(AC5,"f/",""))*AD5, "0.0")</f>
        <v>f/15.5</v>
      </c>
    </row>
    <row r="6" spans="2:32" ht="28" x14ac:dyDescent="0.3">
      <c r="B6" s="1" t="s">
        <v>55</v>
      </c>
      <c r="C6" s="2" t="s">
        <v>51</v>
      </c>
      <c r="D6" s="1" t="s">
        <v>38</v>
      </c>
      <c r="E6" s="1" t="s">
        <v>7</v>
      </c>
      <c r="F6" s="1" t="s">
        <v>6</v>
      </c>
      <c r="G6" s="1">
        <v>12</v>
      </c>
      <c r="H6" s="1" t="s">
        <v>36</v>
      </c>
      <c r="I6" s="1">
        <f t="shared" si="0"/>
        <v>5.9113300492610845</v>
      </c>
      <c r="J6" s="1">
        <v>2.0299999999999998</v>
      </c>
      <c r="K6" s="1" t="str">
        <f t="shared" si="1"/>
        <v>f/10.6</v>
      </c>
      <c r="L6" s="1" t="s">
        <v>41</v>
      </c>
      <c r="M6" s="1" t="s">
        <v>35</v>
      </c>
      <c r="N6" s="1">
        <v>23</v>
      </c>
      <c r="O6" s="1" t="s">
        <v>42</v>
      </c>
      <c r="P6" s="1">
        <f t="shared" si="2"/>
        <v>2.6436781609195403</v>
      </c>
      <c r="Q6" s="1">
        <v>8.6999999999999993</v>
      </c>
      <c r="R6" s="1" t="str">
        <f t="shared" si="3"/>
        <v>f/4.3</v>
      </c>
      <c r="S6" s="1" t="s">
        <v>7</v>
      </c>
      <c r="T6" s="1" t="s">
        <v>6</v>
      </c>
      <c r="U6" s="1">
        <v>75</v>
      </c>
      <c r="V6" s="1" t="s">
        <v>36</v>
      </c>
      <c r="W6" s="1">
        <f t="shared" si="4"/>
        <v>6.270903010033444</v>
      </c>
      <c r="X6" s="1">
        <v>11.96</v>
      </c>
      <c r="Y6" s="1" t="str">
        <f t="shared" si="5"/>
        <v>f/11.3</v>
      </c>
      <c r="Z6" s="1" t="s">
        <v>7</v>
      </c>
      <c r="AA6" s="1" t="s">
        <v>6</v>
      </c>
      <c r="AB6" s="1">
        <v>120</v>
      </c>
      <c r="AC6" s="1" t="s">
        <v>50</v>
      </c>
      <c r="AD6" s="1">
        <f t="shared" si="6"/>
        <v>6.1855670103092786</v>
      </c>
      <c r="AE6" s="1">
        <v>19.399999999999999</v>
      </c>
      <c r="AF6" s="1" t="str">
        <f t="shared" si="7"/>
        <v>f/15.5</v>
      </c>
    </row>
    <row r="7" spans="2:32" ht="28" x14ac:dyDescent="0.3">
      <c r="B7" s="1" t="s">
        <v>56</v>
      </c>
      <c r="C7" s="2" t="s">
        <v>52</v>
      </c>
      <c r="D7" s="1" t="s">
        <v>38</v>
      </c>
      <c r="E7" s="1" t="s">
        <v>48</v>
      </c>
      <c r="F7" s="1" t="s">
        <v>47</v>
      </c>
      <c r="G7" s="1">
        <v>14</v>
      </c>
      <c r="H7" s="1" t="s">
        <v>43</v>
      </c>
      <c r="I7" s="1">
        <f t="shared" si="0"/>
        <v>6.8965517241379315</v>
      </c>
      <c r="J7" s="1">
        <v>2.0299999999999998</v>
      </c>
      <c r="K7" s="1" t="str">
        <f t="shared" si="1"/>
        <v>f/15.2</v>
      </c>
      <c r="L7" s="1" t="s">
        <v>41</v>
      </c>
      <c r="M7" s="1" t="s">
        <v>35</v>
      </c>
      <c r="N7" s="1">
        <v>23</v>
      </c>
      <c r="O7" s="1" t="s">
        <v>42</v>
      </c>
      <c r="P7" s="1">
        <f t="shared" si="2"/>
        <v>2.6436781609195403</v>
      </c>
      <c r="Q7" s="1">
        <v>8.6999999999999993</v>
      </c>
      <c r="R7" s="1" t="str">
        <f t="shared" si="3"/>
        <v>f/4.3</v>
      </c>
      <c r="S7" s="1" t="s">
        <v>7</v>
      </c>
      <c r="T7" s="1" t="s">
        <v>6</v>
      </c>
      <c r="U7" s="1">
        <v>70</v>
      </c>
      <c r="V7" s="1" t="s">
        <v>36</v>
      </c>
      <c r="W7" s="1">
        <f t="shared" si="4"/>
        <v>6.2724014336917566</v>
      </c>
      <c r="X7" s="1">
        <v>11.16</v>
      </c>
      <c r="Y7" s="1" t="str">
        <f t="shared" si="5"/>
        <v>f/11.3</v>
      </c>
      <c r="Z7" s="1" t="s">
        <v>49</v>
      </c>
      <c r="AA7" s="1" t="s">
        <v>44</v>
      </c>
      <c r="AB7" s="1">
        <v>100</v>
      </c>
      <c r="AC7" s="1" t="s">
        <v>46</v>
      </c>
      <c r="AD7" s="1">
        <f t="shared" si="6"/>
        <v>3.9840637450199199</v>
      </c>
      <c r="AE7" s="1">
        <v>25.1</v>
      </c>
      <c r="AF7" s="1" t="str">
        <f t="shared" si="7"/>
        <v>f/10.4</v>
      </c>
    </row>
    <row r="8" spans="2:32" ht="28" x14ac:dyDescent="0.3">
      <c r="B8" s="1" t="s">
        <v>57</v>
      </c>
      <c r="C8" s="2" t="s">
        <v>52</v>
      </c>
      <c r="D8" s="1" t="s">
        <v>38</v>
      </c>
      <c r="E8" s="1" t="s">
        <v>48</v>
      </c>
      <c r="F8" s="1" t="s">
        <v>47</v>
      </c>
      <c r="G8" s="1">
        <v>14</v>
      </c>
      <c r="H8" s="1" t="s">
        <v>43</v>
      </c>
      <c r="I8" s="1">
        <f t="shared" si="0"/>
        <v>6.8965517241379315</v>
      </c>
      <c r="J8" s="1">
        <v>2.0299999999999998</v>
      </c>
      <c r="K8" s="1" t="str">
        <f t="shared" si="1"/>
        <v>f/15.2</v>
      </c>
      <c r="L8" s="1" t="s">
        <v>41</v>
      </c>
      <c r="M8" s="1" t="s">
        <v>35</v>
      </c>
      <c r="N8" s="1">
        <v>23</v>
      </c>
      <c r="O8" s="1" t="s">
        <v>42</v>
      </c>
      <c r="P8" s="1">
        <f t="shared" si="2"/>
        <v>2.6436781609195403</v>
      </c>
      <c r="Q8" s="1">
        <v>8.6999999999999993</v>
      </c>
      <c r="R8" s="1" t="str">
        <f t="shared" si="3"/>
        <v>f/4.3</v>
      </c>
      <c r="S8" s="1" t="s">
        <v>7</v>
      </c>
      <c r="T8" s="1" t="s">
        <v>6</v>
      </c>
      <c r="U8" s="1">
        <v>70</v>
      </c>
      <c r="V8" s="1" t="s">
        <v>36</v>
      </c>
      <c r="W8" s="1">
        <f t="shared" si="4"/>
        <v>6.2724014336917566</v>
      </c>
      <c r="X8" s="1">
        <v>11.16</v>
      </c>
      <c r="Y8" s="1" t="str">
        <f t="shared" si="5"/>
        <v>f/11.3</v>
      </c>
      <c r="Z8" s="1" t="s">
        <v>49</v>
      </c>
      <c r="AA8" s="1" t="s">
        <v>44</v>
      </c>
      <c r="AB8" s="1">
        <v>100</v>
      </c>
      <c r="AC8" s="1" t="s">
        <v>46</v>
      </c>
      <c r="AD8" s="1">
        <f t="shared" si="6"/>
        <v>3.9840637450199199</v>
      </c>
      <c r="AE8" s="1">
        <v>25.1</v>
      </c>
      <c r="AF8" s="1" t="str">
        <f t="shared" si="7"/>
        <v>f/10.4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90E6-8204-43A1-8882-760141BFEE7D}">
  <dimension ref="B2:AF7"/>
  <sheetViews>
    <sheetView workbookViewId="0">
      <selection activeCell="N18" sqref="N18"/>
    </sheetView>
  </sheetViews>
  <sheetFormatPr defaultColWidth="5.58203125" defaultRowHeight="14" x14ac:dyDescent="0.3"/>
  <cols>
    <col min="1" max="1" width="5.58203125" style="1"/>
    <col min="2" max="2" width="8.58203125" style="1" customWidth="1"/>
    <col min="3" max="3" width="13.1640625" style="1" customWidth="1"/>
    <col min="4" max="32" width="8.58203125" style="1" customWidth="1"/>
    <col min="33" max="16384" width="5.58203125" style="1"/>
  </cols>
  <sheetData>
    <row r="2" spans="2:32" ht="42" x14ac:dyDescent="0.3">
      <c r="B2" s="1" t="s">
        <v>0</v>
      </c>
      <c r="C2" s="1" t="s">
        <v>32</v>
      </c>
      <c r="D2" s="1" t="s">
        <v>33</v>
      </c>
      <c r="E2" s="1" t="s">
        <v>2</v>
      </c>
      <c r="F2" s="1" t="s">
        <v>8</v>
      </c>
      <c r="G2" s="1" t="s">
        <v>23</v>
      </c>
      <c r="H2" s="1" t="s">
        <v>19</v>
      </c>
      <c r="I2" s="1" t="s">
        <v>24</v>
      </c>
      <c r="J2" s="1" t="s">
        <v>12</v>
      </c>
      <c r="K2" s="1" t="s">
        <v>26</v>
      </c>
      <c r="L2" s="1" t="s">
        <v>3</v>
      </c>
      <c r="M2" s="1" t="s">
        <v>9</v>
      </c>
      <c r="N2" s="1" t="s">
        <v>14</v>
      </c>
      <c r="O2" s="1" t="s">
        <v>20</v>
      </c>
      <c r="P2" s="1" t="s">
        <v>25</v>
      </c>
      <c r="Q2" s="1" t="s">
        <v>13</v>
      </c>
      <c r="R2" s="1" t="s">
        <v>27</v>
      </c>
      <c r="S2" s="1" t="s">
        <v>4</v>
      </c>
      <c r="T2" s="1" t="s">
        <v>10</v>
      </c>
      <c r="U2" s="1" t="s">
        <v>16</v>
      </c>
      <c r="V2" s="1" t="s">
        <v>21</v>
      </c>
      <c r="W2" s="1" t="s">
        <v>28</v>
      </c>
      <c r="X2" s="1" t="s">
        <v>15</v>
      </c>
      <c r="Y2" s="1" t="s">
        <v>29</v>
      </c>
      <c r="Z2" s="1" t="s">
        <v>5</v>
      </c>
      <c r="AA2" s="1" t="s">
        <v>11</v>
      </c>
      <c r="AB2" s="1" t="s">
        <v>18</v>
      </c>
      <c r="AC2" s="1" t="s">
        <v>22</v>
      </c>
      <c r="AD2" s="1" t="s">
        <v>30</v>
      </c>
      <c r="AE2" s="1" t="s">
        <v>17</v>
      </c>
      <c r="AF2" s="1" t="s">
        <v>31</v>
      </c>
    </row>
    <row r="3" spans="2:32" ht="28" x14ac:dyDescent="0.3">
      <c r="B3" s="1" t="s">
        <v>59</v>
      </c>
      <c r="C3" s="2" t="s">
        <v>39</v>
      </c>
      <c r="D3" s="1" t="s">
        <v>38</v>
      </c>
      <c r="E3" s="1" t="s">
        <v>7</v>
      </c>
      <c r="F3" s="1" t="s">
        <v>6</v>
      </c>
      <c r="G3" s="1">
        <v>12</v>
      </c>
      <c r="H3" s="1" t="s">
        <v>36</v>
      </c>
      <c r="I3" s="1">
        <f t="shared" ref="I3:I7" si="0">G3/J3</f>
        <v>5.9113300492610845</v>
      </c>
      <c r="J3" s="1">
        <v>2.0299999999999998</v>
      </c>
      <c r="K3" s="1" t="str">
        <f t="shared" ref="K3:K7" si="1">"f/"&amp;TEXT(VALUE(SUBSTITUTE(H3,"f",""))*I3, "0.0")</f>
        <v>f/10.6</v>
      </c>
      <c r="L3" s="1" t="s">
        <v>34</v>
      </c>
      <c r="M3" s="1" t="s">
        <v>35</v>
      </c>
      <c r="N3" s="1">
        <v>23</v>
      </c>
      <c r="O3" s="1" t="s">
        <v>37</v>
      </c>
      <c r="P3" s="1">
        <f t="shared" ref="P3:P7" si="2">N3/Q3</f>
        <v>2.6436781609195403</v>
      </c>
      <c r="Q3" s="1">
        <v>8.6999999999999993</v>
      </c>
      <c r="R3" s="1" t="str">
        <f t="shared" ref="R3:R7" si="3">"f/"&amp;TEXT(VALUE(SUBSTITUTE(O3,"f",""))*P3, "0.0")</f>
        <v>f/5.0</v>
      </c>
      <c r="S3" s="1" t="s">
        <v>7</v>
      </c>
      <c r="T3" s="1" t="s">
        <v>6</v>
      </c>
      <c r="U3" s="1">
        <v>60</v>
      </c>
      <c r="V3" s="1" t="s">
        <v>36</v>
      </c>
      <c r="W3" s="1">
        <f t="shared" ref="W3:W7" si="4">U3/X3</f>
        <v>6.0790273556231007</v>
      </c>
      <c r="X3" s="1">
        <v>9.8699999999999992</v>
      </c>
      <c r="Y3" s="1" t="str">
        <f t="shared" ref="Y3:Y7" si="5">"f/"&amp;TEXT(VALUE(SUBSTITUTE(V3,"f",""))*W3, "0.0")</f>
        <v>f/10.9</v>
      </c>
      <c r="Z3" s="1" t="s">
        <v>7</v>
      </c>
      <c r="AA3" s="1" t="s">
        <v>6</v>
      </c>
      <c r="AB3" s="1">
        <v>120</v>
      </c>
      <c r="AC3" s="1" t="s">
        <v>45</v>
      </c>
      <c r="AD3" s="1">
        <f t="shared" ref="AD3:AD7" si="6">AB3/AE3</f>
        <v>6.1855670103092786</v>
      </c>
      <c r="AE3" s="1">
        <v>19.399999999999999</v>
      </c>
      <c r="AF3" s="1" t="str">
        <f>"f/"&amp;TEXT(VALUE(SUBSTITUTE(AC3,"f/",""))*AD3, "0.0")</f>
        <v>f/18.6</v>
      </c>
    </row>
    <row r="4" spans="2:32" ht="28" x14ac:dyDescent="0.3">
      <c r="B4" s="1" t="s">
        <v>60</v>
      </c>
      <c r="C4" s="2" t="s">
        <v>39</v>
      </c>
      <c r="D4" s="1" t="s">
        <v>38</v>
      </c>
      <c r="E4" s="1" t="s">
        <v>7</v>
      </c>
      <c r="F4" s="1" t="s">
        <v>6</v>
      </c>
      <c r="G4" s="1">
        <v>12</v>
      </c>
      <c r="H4" s="1" t="s">
        <v>36</v>
      </c>
      <c r="I4" s="1">
        <f t="shared" si="0"/>
        <v>5.9113300492610845</v>
      </c>
      <c r="J4" s="1">
        <v>2.0299999999999998</v>
      </c>
      <c r="K4" s="1" t="str">
        <f t="shared" si="1"/>
        <v>f/10.6</v>
      </c>
      <c r="L4" s="1" t="s">
        <v>34</v>
      </c>
      <c r="M4" s="1" t="s">
        <v>35</v>
      </c>
      <c r="N4" s="1">
        <v>23</v>
      </c>
      <c r="O4" s="1" t="s">
        <v>37</v>
      </c>
      <c r="P4" s="1">
        <f t="shared" si="2"/>
        <v>2.6436781609195403</v>
      </c>
      <c r="Q4" s="1">
        <v>8.6999999999999993</v>
      </c>
      <c r="R4" s="1" t="str">
        <f t="shared" si="3"/>
        <v>f/5.0</v>
      </c>
      <c r="S4" s="1" t="s">
        <v>7</v>
      </c>
      <c r="T4" s="1" t="s">
        <v>6</v>
      </c>
      <c r="U4" s="1">
        <v>60</v>
      </c>
      <c r="V4" s="1" t="s">
        <v>36</v>
      </c>
      <c r="W4" s="1">
        <f t="shared" si="4"/>
        <v>6.0790273556231007</v>
      </c>
      <c r="X4" s="1">
        <v>9.8699999999999992</v>
      </c>
      <c r="Y4" s="1" t="str">
        <f t="shared" si="5"/>
        <v>f/10.9</v>
      </c>
      <c r="Z4" s="1" t="s">
        <v>7</v>
      </c>
      <c r="AA4" s="1" t="s">
        <v>6</v>
      </c>
      <c r="AB4" s="1">
        <v>120</v>
      </c>
      <c r="AC4" s="1" t="s">
        <v>45</v>
      </c>
      <c r="AD4" s="1">
        <f t="shared" si="6"/>
        <v>6.1855670103092786</v>
      </c>
      <c r="AE4" s="1">
        <v>19.399999999999999</v>
      </c>
      <c r="AF4" s="1" t="str">
        <f>"f/"&amp;TEXT(VALUE(SUBSTITUTE(AC4,"f/",""))*AD4, "0.0")</f>
        <v>f/18.6</v>
      </c>
    </row>
    <row r="5" spans="2:32" ht="42" x14ac:dyDescent="0.3">
      <c r="B5" s="1" t="s">
        <v>61</v>
      </c>
      <c r="C5" s="2" t="s">
        <v>51</v>
      </c>
      <c r="D5" s="1" t="s">
        <v>38</v>
      </c>
      <c r="E5" s="1" t="s">
        <v>7</v>
      </c>
      <c r="F5" s="1" t="s">
        <v>6</v>
      </c>
      <c r="G5" s="1">
        <v>12</v>
      </c>
      <c r="H5" s="1" t="s">
        <v>36</v>
      </c>
      <c r="I5" s="1">
        <f t="shared" si="0"/>
        <v>5.9113300492610845</v>
      </c>
      <c r="J5" s="1">
        <v>2.0299999999999998</v>
      </c>
      <c r="K5" s="1" t="str">
        <f t="shared" si="1"/>
        <v>f/10.6</v>
      </c>
      <c r="L5" s="1" t="s">
        <v>41</v>
      </c>
      <c r="M5" s="1" t="s">
        <v>35</v>
      </c>
      <c r="N5" s="1">
        <v>23</v>
      </c>
      <c r="O5" s="1" t="s">
        <v>42</v>
      </c>
      <c r="P5" s="1">
        <f t="shared" si="2"/>
        <v>2.6436781609195403</v>
      </c>
      <c r="Q5" s="1">
        <v>8.6999999999999993</v>
      </c>
      <c r="R5" s="1" t="str">
        <f t="shared" si="3"/>
        <v>f/4.3</v>
      </c>
      <c r="S5" s="1" t="s">
        <v>7</v>
      </c>
      <c r="T5" s="1" t="s">
        <v>6</v>
      </c>
      <c r="U5" s="1">
        <v>75</v>
      </c>
      <c r="V5" s="1" t="s">
        <v>36</v>
      </c>
      <c r="W5" s="1">
        <f t="shared" si="4"/>
        <v>6.270903010033444</v>
      </c>
      <c r="X5" s="1">
        <v>11.96</v>
      </c>
      <c r="Y5" s="1" t="str">
        <f t="shared" si="5"/>
        <v>f/11.3</v>
      </c>
      <c r="Z5" s="1" t="s">
        <v>7</v>
      </c>
      <c r="AA5" s="1" t="s">
        <v>6</v>
      </c>
      <c r="AB5" s="1">
        <v>120</v>
      </c>
      <c r="AC5" s="1" t="s">
        <v>50</v>
      </c>
      <c r="AD5" s="1">
        <f t="shared" si="6"/>
        <v>6.1855670103092786</v>
      </c>
      <c r="AE5" s="1">
        <v>19.399999999999999</v>
      </c>
      <c r="AF5" s="1" t="str">
        <f t="shared" ref="AF5:AF7" si="7">"f/"&amp;TEXT(VALUE(SUBSTITUTE(AC5,"f/",""))*AD5, "0.0")</f>
        <v>f/15.5</v>
      </c>
    </row>
    <row r="6" spans="2:32" ht="28" x14ac:dyDescent="0.3">
      <c r="B6" s="1" t="s">
        <v>63</v>
      </c>
      <c r="C6" s="2" t="s">
        <v>51</v>
      </c>
      <c r="D6" s="1" t="s">
        <v>38</v>
      </c>
      <c r="E6" s="1" t="s">
        <v>7</v>
      </c>
      <c r="F6" s="1" t="s">
        <v>6</v>
      </c>
      <c r="G6" s="1">
        <v>12</v>
      </c>
      <c r="H6" s="1" t="s">
        <v>36</v>
      </c>
      <c r="I6" s="1">
        <f t="shared" si="0"/>
        <v>5.9113300492610845</v>
      </c>
      <c r="J6" s="1">
        <v>2.0299999999999998</v>
      </c>
      <c r="K6" s="1" t="str">
        <f t="shared" si="1"/>
        <v>f/10.6</v>
      </c>
      <c r="L6" s="1" t="s">
        <v>41</v>
      </c>
      <c r="M6" s="1" t="s">
        <v>35</v>
      </c>
      <c r="N6" s="1">
        <v>23</v>
      </c>
      <c r="O6" s="1" t="s">
        <v>42</v>
      </c>
      <c r="P6" s="1">
        <f t="shared" si="2"/>
        <v>2.6436781609195403</v>
      </c>
      <c r="Q6" s="1">
        <v>8.6999999999999993</v>
      </c>
      <c r="R6" s="1" t="str">
        <f t="shared" si="3"/>
        <v>f/4.3</v>
      </c>
      <c r="S6" s="1" t="s">
        <v>7</v>
      </c>
      <c r="T6" s="1" t="s">
        <v>6</v>
      </c>
      <c r="U6" s="1">
        <v>75</v>
      </c>
      <c r="V6" s="1" t="s">
        <v>36</v>
      </c>
      <c r="W6" s="1">
        <f t="shared" si="4"/>
        <v>6.270903010033444</v>
      </c>
      <c r="X6" s="1">
        <v>11.96</v>
      </c>
      <c r="Y6" s="1" t="str">
        <f t="shared" si="5"/>
        <v>f/11.3</v>
      </c>
      <c r="Z6" s="1" t="s">
        <v>7</v>
      </c>
      <c r="AA6" s="1" t="s">
        <v>6</v>
      </c>
      <c r="AB6" s="1">
        <v>120</v>
      </c>
      <c r="AC6" s="1" t="s">
        <v>50</v>
      </c>
      <c r="AD6" s="1">
        <f t="shared" si="6"/>
        <v>6.1855670103092786</v>
      </c>
      <c r="AE6" s="1">
        <v>19.399999999999999</v>
      </c>
      <c r="AF6" s="1" t="str">
        <f t="shared" si="7"/>
        <v>f/15.5</v>
      </c>
    </row>
    <row r="7" spans="2:32" ht="42" x14ac:dyDescent="0.3">
      <c r="B7" s="1" t="s">
        <v>62</v>
      </c>
      <c r="C7" s="2" t="s">
        <v>52</v>
      </c>
      <c r="D7" s="1" t="s">
        <v>38</v>
      </c>
      <c r="E7" s="1" t="s">
        <v>48</v>
      </c>
      <c r="F7" s="1" t="s">
        <v>47</v>
      </c>
      <c r="G7" s="1">
        <v>14</v>
      </c>
      <c r="H7" s="1" t="s">
        <v>43</v>
      </c>
      <c r="I7" s="1">
        <f t="shared" si="0"/>
        <v>6.8965517241379315</v>
      </c>
      <c r="J7" s="1">
        <v>2.0299999999999998</v>
      </c>
      <c r="K7" s="1" t="str">
        <f t="shared" si="1"/>
        <v>f/15.2</v>
      </c>
      <c r="L7" s="1" t="s">
        <v>41</v>
      </c>
      <c r="M7" s="1" t="s">
        <v>35</v>
      </c>
      <c r="N7" s="1">
        <v>23</v>
      </c>
      <c r="O7" s="1" t="s">
        <v>42</v>
      </c>
      <c r="P7" s="1">
        <f t="shared" si="2"/>
        <v>2.6436781609195403</v>
      </c>
      <c r="Q7" s="1">
        <v>8.6999999999999993</v>
      </c>
      <c r="R7" s="1" t="str">
        <f t="shared" si="3"/>
        <v>f/4.3</v>
      </c>
      <c r="S7" s="1" t="s">
        <v>7</v>
      </c>
      <c r="T7" s="1" t="s">
        <v>6</v>
      </c>
      <c r="U7" s="1">
        <v>70</v>
      </c>
      <c r="V7" s="1" t="s">
        <v>36</v>
      </c>
      <c r="W7" s="1">
        <f t="shared" si="4"/>
        <v>6.2724014336917566</v>
      </c>
      <c r="X7" s="1">
        <v>11.16</v>
      </c>
      <c r="Y7" s="1" t="str">
        <f t="shared" si="5"/>
        <v>f/11.3</v>
      </c>
      <c r="Z7" s="1" t="s">
        <v>49</v>
      </c>
      <c r="AA7" s="1" t="s">
        <v>44</v>
      </c>
      <c r="AB7" s="1">
        <v>100</v>
      </c>
      <c r="AC7" s="1" t="s">
        <v>46</v>
      </c>
      <c r="AD7" s="1">
        <f t="shared" si="6"/>
        <v>3.9840637450199199</v>
      </c>
      <c r="AE7" s="1">
        <v>25.1</v>
      </c>
      <c r="AF7" s="1" t="str">
        <f t="shared" si="7"/>
        <v>f/10.4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93D5-860E-47A4-8515-8F1777445AB6}">
  <dimension ref="B2:AF7"/>
  <sheetViews>
    <sheetView workbookViewId="0">
      <selection activeCell="B3" sqref="B3"/>
    </sheetView>
  </sheetViews>
  <sheetFormatPr defaultColWidth="5.58203125" defaultRowHeight="14" x14ac:dyDescent="0.3"/>
  <cols>
    <col min="1" max="1" width="5.58203125" style="1"/>
    <col min="2" max="2" width="8.58203125" style="1" customWidth="1"/>
    <col min="3" max="3" width="13.1640625" style="1" customWidth="1"/>
    <col min="4" max="32" width="8.58203125" style="1" customWidth="1"/>
    <col min="33" max="16384" width="5.58203125" style="1"/>
  </cols>
  <sheetData>
    <row r="2" spans="2:32" ht="42" x14ac:dyDescent="0.3">
      <c r="B2" s="1" t="s">
        <v>0</v>
      </c>
      <c r="C2" s="1" t="s">
        <v>32</v>
      </c>
      <c r="D2" s="1" t="s">
        <v>33</v>
      </c>
      <c r="E2" s="1" t="s">
        <v>2</v>
      </c>
      <c r="F2" s="1" t="s">
        <v>8</v>
      </c>
      <c r="G2" s="1" t="s">
        <v>23</v>
      </c>
      <c r="H2" s="1" t="s">
        <v>19</v>
      </c>
      <c r="I2" s="1" t="s">
        <v>24</v>
      </c>
      <c r="J2" s="1" t="s">
        <v>12</v>
      </c>
      <c r="K2" s="1" t="s">
        <v>26</v>
      </c>
      <c r="L2" s="1" t="s">
        <v>3</v>
      </c>
      <c r="M2" s="1" t="s">
        <v>9</v>
      </c>
      <c r="N2" s="1" t="s">
        <v>14</v>
      </c>
      <c r="O2" s="1" t="s">
        <v>20</v>
      </c>
      <c r="P2" s="1" t="s">
        <v>25</v>
      </c>
      <c r="Q2" s="1" t="s">
        <v>13</v>
      </c>
      <c r="R2" s="1" t="s">
        <v>27</v>
      </c>
      <c r="S2" s="1" t="s">
        <v>4</v>
      </c>
      <c r="T2" s="1" t="s">
        <v>10</v>
      </c>
      <c r="U2" s="1" t="s">
        <v>16</v>
      </c>
      <c r="V2" s="1" t="s">
        <v>21</v>
      </c>
      <c r="W2" s="1" t="s">
        <v>28</v>
      </c>
      <c r="X2" s="1" t="s">
        <v>15</v>
      </c>
      <c r="Y2" s="1" t="s">
        <v>29</v>
      </c>
      <c r="Z2" s="1" t="s">
        <v>5</v>
      </c>
      <c r="AA2" s="1" t="s">
        <v>11</v>
      </c>
      <c r="AB2" s="1" t="s">
        <v>18</v>
      </c>
      <c r="AC2" s="1" t="s">
        <v>22</v>
      </c>
      <c r="AD2" s="1" t="s">
        <v>30</v>
      </c>
      <c r="AE2" s="1" t="s">
        <v>17</v>
      </c>
      <c r="AF2" s="1" t="s">
        <v>31</v>
      </c>
    </row>
    <row r="3" spans="2:32" ht="28" x14ac:dyDescent="0.3">
      <c r="B3" s="1" t="s">
        <v>68</v>
      </c>
      <c r="C3" s="2" t="s">
        <v>39</v>
      </c>
      <c r="D3" s="1" t="s">
        <v>38</v>
      </c>
      <c r="E3" s="1" t="s">
        <v>7</v>
      </c>
      <c r="F3" s="1" t="s">
        <v>6</v>
      </c>
      <c r="G3" s="1">
        <v>12</v>
      </c>
      <c r="H3" s="1" t="s">
        <v>36</v>
      </c>
      <c r="I3" s="1">
        <f t="shared" ref="I3:I7" si="0">G3/J3</f>
        <v>5.9113300492610845</v>
      </c>
      <c r="J3" s="1">
        <v>2.0299999999999998</v>
      </c>
      <c r="K3" s="1" t="str">
        <f t="shared" ref="K3:K7" si="1">"f/"&amp;TEXT(VALUE(SUBSTITUTE(H3,"f",""))*I3, "0.0")</f>
        <v>f/10.6</v>
      </c>
      <c r="L3" s="1" t="s">
        <v>34</v>
      </c>
      <c r="M3" s="1" t="s">
        <v>35</v>
      </c>
      <c r="N3" s="1">
        <v>23</v>
      </c>
      <c r="O3" s="1" t="s">
        <v>37</v>
      </c>
      <c r="P3" s="1">
        <f t="shared" ref="P3:P7" si="2">N3/Q3</f>
        <v>2.6436781609195403</v>
      </c>
      <c r="Q3" s="1">
        <v>8.6999999999999993</v>
      </c>
      <c r="R3" s="1" t="str">
        <f t="shared" ref="R3:R7" si="3">"f/"&amp;TEXT(VALUE(SUBSTITUTE(O3,"f",""))*P3, "0.0")</f>
        <v>f/5.0</v>
      </c>
      <c r="S3" s="1" t="s">
        <v>7</v>
      </c>
      <c r="T3" s="1" t="s">
        <v>6</v>
      </c>
      <c r="U3" s="1">
        <v>60</v>
      </c>
      <c r="V3" s="1" t="s">
        <v>36</v>
      </c>
      <c r="W3" s="1">
        <f t="shared" ref="W3:W7" si="4">U3/X3</f>
        <v>6.0790273556231007</v>
      </c>
      <c r="X3" s="1">
        <v>9.8699999999999992</v>
      </c>
      <c r="Y3" s="1" t="str">
        <f t="shared" ref="Y3:Y7" si="5">"f/"&amp;TEXT(VALUE(SUBSTITUTE(V3,"f",""))*W3, "0.0")</f>
        <v>f/10.9</v>
      </c>
      <c r="Z3" s="1" t="s">
        <v>7</v>
      </c>
      <c r="AA3" s="1" t="s">
        <v>6</v>
      </c>
      <c r="AB3" s="1">
        <v>120</v>
      </c>
      <c r="AC3" s="1" t="s">
        <v>45</v>
      </c>
      <c r="AD3" s="1">
        <f t="shared" ref="AD3:AD7" si="6">AB3/AE3</f>
        <v>6.1855670103092786</v>
      </c>
      <c r="AE3" s="1">
        <v>19.399999999999999</v>
      </c>
      <c r="AF3" s="1" t="str">
        <f>"f/"&amp;TEXT(VALUE(SUBSTITUTE(AC3,"f/",""))*AD3, "0.0")</f>
        <v>f/18.6</v>
      </c>
    </row>
    <row r="4" spans="2:32" ht="28" x14ac:dyDescent="0.3">
      <c r="B4" s="1" t="s">
        <v>64</v>
      </c>
      <c r="C4" s="2" t="s">
        <v>39</v>
      </c>
      <c r="D4" s="1" t="s">
        <v>38</v>
      </c>
      <c r="E4" s="1" t="s">
        <v>7</v>
      </c>
      <c r="F4" s="1" t="s">
        <v>6</v>
      </c>
      <c r="G4" s="1">
        <v>12</v>
      </c>
      <c r="H4" s="1" t="s">
        <v>36</v>
      </c>
      <c r="I4" s="1">
        <f t="shared" si="0"/>
        <v>5.9113300492610845</v>
      </c>
      <c r="J4" s="1">
        <v>2.0299999999999998</v>
      </c>
      <c r="K4" s="1" t="str">
        <f t="shared" si="1"/>
        <v>f/10.6</v>
      </c>
      <c r="L4" s="1" t="s">
        <v>34</v>
      </c>
      <c r="M4" s="1" t="s">
        <v>35</v>
      </c>
      <c r="N4" s="1">
        <v>23</v>
      </c>
      <c r="O4" s="1" t="s">
        <v>37</v>
      </c>
      <c r="P4" s="1">
        <f t="shared" si="2"/>
        <v>2.6436781609195403</v>
      </c>
      <c r="Q4" s="1">
        <v>8.6999999999999993</v>
      </c>
      <c r="R4" s="1" t="str">
        <f t="shared" si="3"/>
        <v>f/5.0</v>
      </c>
      <c r="S4" s="1" t="s">
        <v>7</v>
      </c>
      <c r="T4" s="1" t="s">
        <v>6</v>
      </c>
      <c r="U4" s="1">
        <v>60</v>
      </c>
      <c r="V4" s="1" t="s">
        <v>36</v>
      </c>
      <c r="W4" s="1">
        <f t="shared" si="4"/>
        <v>6.0790273556231007</v>
      </c>
      <c r="X4" s="1">
        <v>9.8699999999999992</v>
      </c>
      <c r="Y4" s="1" t="str">
        <f t="shared" si="5"/>
        <v>f/10.9</v>
      </c>
      <c r="Z4" s="1" t="s">
        <v>7</v>
      </c>
      <c r="AA4" s="1" t="s">
        <v>6</v>
      </c>
      <c r="AB4" s="1">
        <v>120</v>
      </c>
      <c r="AC4" s="1" t="s">
        <v>45</v>
      </c>
      <c r="AD4" s="1">
        <f t="shared" si="6"/>
        <v>6.1855670103092786</v>
      </c>
      <c r="AE4" s="1">
        <v>19.399999999999999</v>
      </c>
      <c r="AF4" s="1" t="str">
        <f>"f/"&amp;TEXT(VALUE(SUBSTITUTE(AC4,"f/",""))*AD4, "0.0")</f>
        <v>f/18.6</v>
      </c>
    </row>
    <row r="5" spans="2:32" ht="28" x14ac:dyDescent="0.3">
      <c r="B5" s="1" t="s">
        <v>66</v>
      </c>
      <c r="C5" s="2" t="s">
        <v>51</v>
      </c>
      <c r="D5" s="1" t="s">
        <v>38</v>
      </c>
      <c r="E5" s="1" t="s">
        <v>7</v>
      </c>
      <c r="F5" s="1" t="s">
        <v>6</v>
      </c>
      <c r="G5" s="1">
        <v>12</v>
      </c>
      <c r="H5" s="1" t="s">
        <v>36</v>
      </c>
      <c r="I5" s="1">
        <f t="shared" si="0"/>
        <v>5.9113300492610845</v>
      </c>
      <c r="J5" s="1">
        <v>2.0299999999999998</v>
      </c>
      <c r="K5" s="1" t="str">
        <f t="shared" si="1"/>
        <v>f/10.6</v>
      </c>
      <c r="L5" s="1" t="s">
        <v>41</v>
      </c>
      <c r="M5" s="1" t="s">
        <v>35</v>
      </c>
      <c r="N5" s="1">
        <v>23</v>
      </c>
      <c r="O5" s="1" t="s">
        <v>42</v>
      </c>
      <c r="P5" s="1">
        <f t="shared" si="2"/>
        <v>2.6436781609195403</v>
      </c>
      <c r="Q5" s="1">
        <v>8.6999999999999993</v>
      </c>
      <c r="R5" s="1" t="str">
        <f t="shared" si="3"/>
        <v>f/4.3</v>
      </c>
      <c r="S5" s="1" t="s">
        <v>7</v>
      </c>
      <c r="T5" s="1" t="s">
        <v>6</v>
      </c>
      <c r="U5" s="1">
        <v>75</v>
      </c>
      <c r="V5" s="1" t="s">
        <v>36</v>
      </c>
      <c r="W5" s="1">
        <f t="shared" si="4"/>
        <v>6.270903010033444</v>
      </c>
      <c r="X5" s="1">
        <v>11.96</v>
      </c>
      <c r="Y5" s="1" t="str">
        <f t="shared" si="5"/>
        <v>f/11.3</v>
      </c>
      <c r="Z5" s="1" t="s">
        <v>7</v>
      </c>
      <c r="AA5" s="1" t="s">
        <v>6</v>
      </c>
      <c r="AB5" s="1">
        <v>120</v>
      </c>
      <c r="AC5" s="1" t="s">
        <v>50</v>
      </c>
      <c r="AD5" s="1">
        <f t="shared" si="6"/>
        <v>6.1855670103092786</v>
      </c>
      <c r="AE5" s="1">
        <v>19.399999999999999</v>
      </c>
      <c r="AF5" s="1" t="str">
        <f t="shared" ref="AF5:AF7" si="7">"f/"&amp;TEXT(VALUE(SUBSTITUTE(AC5,"f/",""))*AD5, "0.0")</f>
        <v>f/15.5</v>
      </c>
    </row>
    <row r="6" spans="2:32" ht="28" x14ac:dyDescent="0.3">
      <c r="B6" s="1" t="s">
        <v>65</v>
      </c>
      <c r="C6" s="2" t="s">
        <v>51</v>
      </c>
      <c r="D6" s="1" t="s">
        <v>38</v>
      </c>
      <c r="E6" s="1" t="s">
        <v>7</v>
      </c>
      <c r="F6" s="1" t="s">
        <v>6</v>
      </c>
      <c r="G6" s="1">
        <v>12</v>
      </c>
      <c r="H6" s="1" t="s">
        <v>36</v>
      </c>
      <c r="I6" s="1">
        <f t="shared" si="0"/>
        <v>5.9113300492610845</v>
      </c>
      <c r="J6" s="1">
        <v>2.0299999999999998</v>
      </c>
      <c r="K6" s="1" t="str">
        <f t="shared" si="1"/>
        <v>f/10.6</v>
      </c>
      <c r="L6" s="1" t="s">
        <v>41</v>
      </c>
      <c r="M6" s="1" t="s">
        <v>35</v>
      </c>
      <c r="N6" s="1">
        <v>23</v>
      </c>
      <c r="O6" s="1" t="s">
        <v>42</v>
      </c>
      <c r="P6" s="1">
        <f t="shared" si="2"/>
        <v>2.6436781609195403</v>
      </c>
      <c r="Q6" s="1">
        <v>8.6999999999999993</v>
      </c>
      <c r="R6" s="1" t="str">
        <f t="shared" si="3"/>
        <v>f/4.3</v>
      </c>
      <c r="S6" s="1" t="s">
        <v>7</v>
      </c>
      <c r="T6" s="1" t="s">
        <v>6</v>
      </c>
      <c r="U6" s="1">
        <v>75</v>
      </c>
      <c r="V6" s="1" t="s">
        <v>36</v>
      </c>
      <c r="W6" s="1">
        <f t="shared" si="4"/>
        <v>6.270903010033444</v>
      </c>
      <c r="X6" s="1">
        <v>11.96</v>
      </c>
      <c r="Y6" s="1" t="str">
        <f t="shared" si="5"/>
        <v>f/11.3</v>
      </c>
      <c r="Z6" s="1" t="s">
        <v>7</v>
      </c>
      <c r="AA6" s="1" t="s">
        <v>6</v>
      </c>
      <c r="AB6" s="1">
        <v>120</v>
      </c>
      <c r="AC6" s="1" t="s">
        <v>50</v>
      </c>
      <c r="AD6" s="1">
        <f t="shared" si="6"/>
        <v>6.1855670103092786</v>
      </c>
      <c r="AE6" s="1">
        <v>19.399999999999999</v>
      </c>
      <c r="AF6" s="1" t="str">
        <f t="shared" si="7"/>
        <v>f/15.5</v>
      </c>
    </row>
    <row r="7" spans="2:32" ht="42" x14ac:dyDescent="0.3">
      <c r="B7" s="1" t="s">
        <v>67</v>
      </c>
      <c r="C7" s="2" t="s">
        <v>52</v>
      </c>
      <c r="D7" s="1" t="s">
        <v>38</v>
      </c>
      <c r="E7" s="1" t="s">
        <v>48</v>
      </c>
      <c r="F7" s="1" t="s">
        <v>47</v>
      </c>
      <c r="G7" s="1">
        <v>14</v>
      </c>
      <c r="H7" s="1" t="s">
        <v>43</v>
      </c>
      <c r="I7" s="1">
        <f t="shared" si="0"/>
        <v>6.8965517241379315</v>
      </c>
      <c r="J7" s="1">
        <v>2.0299999999999998</v>
      </c>
      <c r="K7" s="1" t="str">
        <f t="shared" si="1"/>
        <v>f/15.2</v>
      </c>
      <c r="L7" s="1" t="s">
        <v>41</v>
      </c>
      <c r="M7" s="1" t="s">
        <v>35</v>
      </c>
      <c r="N7" s="1">
        <v>23</v>
      </c>
      <c r="O7" s="1" t="s">
        <v>42</v>
      </c>
      <c r="P7" s="1">
        <f t="shared" si="2"/>
        <v>2.6436781609195403</v>
      </c>
      <c r="Q7" s="1">
        <v>8.6999999999999993</v>
      </c>
      <c r="R7" s="1" t="str">
        <f t="shared" si="3"/>
        <v>f/4.3</v>
      </c>
      <c r="S7" s="1" t="s">
        <v>7</v>
      </c>
      <c r="T7" s="1" t="s">
        <v>6</v>
      </c>
      <c r="U7" s="1">
        <v>70</v>
      </c>
      <c r="V7" s="1" t="s">
        <v>36</v>
      </c>
      <c r="W7" s="1">
        <f t="shared" si="4"/>
        <v>6.2724014336917566</v>
      </c>
      <c r="X7" s="1">
        <v>11.16</v>
      </c>
      <c r="Y7" s="1" t="str">
        <f t="shared" si="5"/>
        <v>f/11.3</v>
      </c>
      <c r="Z7" s="1" t="s">
        <v>49</v>
      </c>
      <c r="AA7" s="1" t="s">
        <v>44</v>
      </c>
      <c r="AB7" s="1">
        <v>100</v>
      </c>
      <c r="AC7" s="1" t="s">
        <v>46</v>
      </c>
      <c r="AD7" s="1">
        <f t="shared" si="6"/>
        <v>3.9840637450199199</v>
      </c>
      <c r="AE7" s="1">
        <v>25.1</v>
      </c>
      <c r="AF7" s="1" t="str">
        <f t="shared" si="7"/>
        <v>f/10.4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FCDA-E210-4970-B6B7-B3CD59CC7634}">
  <dimension ref="B2:AF5"/>
  <sheetViews>
    <sheetView workbookViewId="0">
      <selection activeCell="O12" sqref="O12"/>
    </sheetView>
  </sheetViews>
  <sheetFormatPr defaultColWidth="5.58203125" defaultRowHeight="14" x14ac:dyDescent="0.3"/>
  <cols>
    <col min="1" max="1" width="5.58203125" style="1"/>
    <col min="2" max="2" width="8.58203125" style="1" customWidth="1"/>
    <col min="3" max="3" width="13.1640625" style="1" customWidth="1"/>
    <col min="4" max="32" width="8.58203125" style="1" customWidth="1"/>
    <col min="33" max="16384" width="5.58203125" style="1"/>
  </cols>
  <sheetData>
    <row r="2" spans="2:32" ht="42" x14ac:dyDescent="0.3">
      <c r="B2" s="1" t="s">
        <v>0</v>
      </c>
      <c r="C2" s="1" t="s">
        <v>32</v>
      </c>
      <c r="D2" s="1" t="s">
        <v>33</v>
      </c>
      <c r="E2" s="1" t="s">
        <v>2</v>
      </c>
      <c r="F2" s="1" t="s">
        <v>8</v>
      </c>
      <c r="G2" s="1" t="s">
        <v>23</v>
      </c>
      <c r="H2" s="1" t="s">
        <v>19</v>
      </c>
      <c r="I2" s="1" t="s">
        <v>24</v>
      </c>
      <c r="J2" s="1" t="s">
        <v>12</v>
      </c>
      <c r="K2" s="1" t="s">
        <v>26</v>
      </c>
      <c r="L2" s="1" t="s">
        <v>3</v>
      </c>
      <c r="M2" s="1" t="s">
        <v>9</v>
      </c>
      <c r="N2" s="1" t="s">
        <v>14</v>
      </c>
      <c r="O2" s="1" t="s">
        <v>20</v>
      </c>
      <c r="P2" s="1" t="s">
        <v>25</v>
      </c>
      <c r="Q2" s="1" t="s">
        <v>13</v>
      </c>
      <c r="R2" s="1" t="s">
        <v>27</v>
      </c>
      <c r="S2" s="1" t="s">
        <v>4</v>
      </c>
      <c r="T2" s="1" t="s">
        <v>10</v>
      </c>
      <c r="U2" s="1" t="s">
        <v>16</v>
      </c>
      <c r="V2" s="1" t="s">
        <v>21</v>
      </c>
      <c r="W2" s="1" t="s">
        <v>28</v>
      </c>
      <c r="X2" s="1" t="s">
        <v>15</v>
      </c>
      <c r="Y2" s="1" t="s">
        <v>29</v>
      </c>
      <c r="Z2" s="1" t="s">
        <v>5</v>
      </c>
      <c r="AA2" s="1" t="s">
        <v>11</v>
      </c>
      <c r="AB2" s="1" t="s">
        <v>18</v>
      </c>
      <c r="AC2" s="1" t="s">
        <v>22</v>
      </c>
      <c r="AD2" s="1" t="s">
        <v>30</v>
      </c>
      <c r="AE2" s="1" t="s">
        <v>17</v>
      </c>
      <c r="AF2" s="1" t="s">
        <v>31</v>
      </c>
    </row>
    <row r="3" spans="2:32" ht="28" x14ac:dyDescent="0.3">
      <c r="B3" s="1" t="s">
        <v>69</v>
      </c>
      <c r="C3" s="2" t="s">
        <v>39</v>
      </c>
      <c r="D3" s="1" t="s">
        <v>38</v>
      </c>
      <c r="E3" s="1" t="s">
        <v>7</v>
      </c>
      <c r="F3" s="1" t="s">
        <v>6</v>
      </c>
      <c r="G3" s="1">
        <v>12</v>
      </c>
      <c r="H3" s="1" t="s">
        <v>36</v>
      </c>
      <c r="I3" s="1">
        <f t="shared" ref="I3:I5" si="0">G3/J3</f>
        <v>5.9113300492610845</v>
      </c>
      <c r="J3" s="1">
        <v>2.0299999999999998</v>
      </c>
      <c r="K3" s="1" t="str">
        <f t="shared" ref="K3:K5" si="1">"f/"&amp;TEXT(VALUE(SUBSTITUTE(H3,"f",""))*I3, "0.0")</f>
        <v>f/10.6</v>
      </c>
      <c r="L3" s="1" t="s">
        <v>34</v>
      </c>
      <c r="M3" s="1" t="s">
        <v>35</v>
      </c>
      <c r="N3" s="1">
        <v>23</v>
      </c>
      <c r="O3" s="1" t="s">
        <v>37</v>
      </c>
      <c r="P3" s="1">
        <f t="shared" ref="P3:P5" si="2">N3/Q3</f>
        <v>2.6436781609195403</v>
      </c>
      <c r="Q3" s="1">
        <v>8.6999999999999993</v>
      </c>
      <c r="R3" s="1" t="str">
        <f t="shared" ref="R3:R5" si="3">"f/"&amp;TEXT(VALUE(SUBSTITUTE(O3,"f",""))*P3, "0.0")</f>
        <v>f/5.0</v>
      </c>
      <c r="S3" s="1" t="s">
        <v>7</v>
      </c>
      <c r="T3" s="1" t="s">
        <v>6</v>
      </c>
      <c r="U3" s="1">
        <v>60</v>
      </c>
      <c r="V3" s="1" t="s">
        <v>36</v>
      </c>
      <c r="W3" s="1">
        <f t="shared" ref="W3:W5" si="4">U3/X3</f>
        <v>6.0790273556231007</v>
      </c>
      <c r="X3" s="1">
        <v>9.8699999999999992</v>
      </c>
      <c r="Y3" s="1" t="str">
        <f t="shared" ref="Y3:Y5" si="5">"f/"&amp;TEXT(VALUE(SUBSTITUTE(V3,"f",""))*W3, "0.0")</f>
        <v>f/10.9</v>
      </c>
      <c r="Z3" s="1" t="s">
        <v>7</v>
      </c>
      <c r="AA3" s="1" t="s">
        <v>6</v>
      </c>
      <c r="AB3" s="1">
        <v>120</v>
      </c>
      <c r="AC3" s="1" t="s">
        <v>45</v>
      </c>
      <c r="AD3" s="1">
        <f t="shared" ref="AD3:AD5" si="6">AB3/AE3</f>
        <v>6.1855670103092786</v>
      </c>
      <c r="AE3" s="1">
        <v>19.399999999999999</v>
      </c>
      <c r="AF3" s="1" t="str">
        <f>"f/"&amp;TEXT(VALUE(SUBSTITUTE(AC3,"f/",""))*AD3, "0.0")</f>
        <v>f/18.6</v>
      </c>
    </row>
    <row r="4" spans="2:32" ht="28" x14ac:dyDescent="0.3">
      <c r="B4" s="1" t="s">
        <v>85</v>
      </c>
      <c r="C4" s="2" t="s">
        <v>39</v>
      </c>
      <c r="D4" s="1" t="s">
        <v>38</v>
      </c>
      <c r="E4" s="1" t="s">
        <v>7</v>
      </c>
      <c r="F4" s="1" t="s">
        <v>6</v>
      </c>
      <c r="G4" s="1">
        <v>12</v>
      </c>
      <c r="H4" s="1" t="s">
        <v>36</v>
      </c>
      <c r="I4" s="1">
        <f t="shared" si="0"/>
        <v>5.9113300492610845</v>
      </c>
      <c r="J4" s="1">
        <v>2.0299999999999998</v>
      </c>
      <c r="K4" s="1" t="str">
        <f t="shared" si="1"/>
        <v>f/10.6</v>
      </c>
      <c r="L4" s="1" t="s">
        <v>34</v>
      </c>
      <c r="M4" s="1" t="s">
        <v>35</v>
      </c>
      <c r="N4" s="1">
        <v>23</v>
      </c>
      <c r="O4" s="1" t="s">
        <v>37</v>
      </c>
      <c r="P4" s="1">
        <f t="shared" si="2"/>
        <v>2.6436781609195403</v>
      </c>
      <c r="Q4" s="1">
        <v>8.6999999999999993</v>
      </c>
      <c r="R4" s="1" t="str">
        <f t="shared" si="3"/>
        <v>f/5.0</v>
      </c>
      <c r="S4" s="1" t="s">
        <v>7</v>
      </c>
      <c r="T4" s="1" t="s">
        <v>6</v>
      </c>
      <c r="U4" s="1">
        <v>60</v>
      </c>
      <c r="V4" s="1" t="s">
        <v>36</v>
      </c>
      <c r="W4" s="1">
        <f t="shared" si="4"/>
        <v>6.0790273556231007</v>
      </c>
      <c r="X4" s="1">
        <v>9.8699999999999992</v>
      </c>
      <c r="Y4" s="1" t="str">
        <f t="shared" si="5"/>
        <v>f/10.9</v>
      </c>
      <c r="Z4" s="1" t="s">
        <v>7</v>
      </c>
      <c r="AA4" s="1" t="s">
        <v>6</v>
      </c>
      <c r="AB4" s="1">
        <v>120</v>
      </c>
      <c r="AC4" s="1" t="s">
        <v>45</v>
      </c>
      <c r="AD4" s="1">
        <f t="shared" si="6"/>
        <v>6.1855670103092786</v>
      </c>
      <c r="AE4" s="1">
        <v>19.399999999999999</v>
      </c>
      <c r="AF4" s="1" t="str">
        <f>"f/"&amp;TEXT(VALUE(SUBSTITUTE(AC4,"f/",""))*AD4, "0.0")</f>
        <v>f/18.6</v>
      </c>
    </row>
    <row r="5" spans="2:32" ht="28" x14ac:dyDescent="0.3">
      <c r="B5" s="1" t="s">
        <v>86</v>
      </c>
      <c r="C5" s="2" t="s">
        <v>51</v>
      </c>
      <c r="D5" s="1" t="s">
        <v>38</v>
      </c>
      <c r="E5" s="1" t="s">
        <v>7</v>
      </c>
      <c r="F5" s="1" t="s">
        <v>6</v>
      </c>
      <c r="G5" s="1">
        <v>12</v>
      </c>
      <c r="H5" s="1" t="s">
        <v>36</v>
      </c>
      <c r="I5" s="1">
        <f t="shared" si="0"/>
        <v>5.9113300492610845</v>
      </c>
      <c r="J5" s="1">
        <v>2.0299999999999998</v>
      </c>
      <c r="K5" s="1" t="str">
        <f t="shared" si="1"/>
        <v>f/10.6</v>
      </c>
      <c r="L5" s="1" t="s">
        <v>41</v>
      </c>
      <c r="M5" s="1" t="s">
        <v>35</v>
      </c>
      <c r="N5" s="1">
        <v>23</v>
      </c>
      <c r="O5" s="1" t="s">
        <v>42</v>
      </c>
      <c r="P5" s="1">
        <f t="shared" si="2"/>
        <v>2.6436781609195403</v>
      </c>
      <c r="Q5" s="1">
        <v>8.6999999999999993</v>
      </c>
      <c r="R5" s="1" t="str">
        <f t="shared" si="3"/>
        <v>f/4.3</v>
      </c>
      <c r="S5" s="1" t="s">
        <v>7</v>
      </c>
      <c r="T5" s="1" t="s">
        <v>6</v>
      </c>
      <c r="U5" s="1">
        <v>75</v>
      </c>
      <c r="V5" s="1" t="s">
        <v>36</v>
      </c>
      <c r="W5" s="1">
        <f t="shared" si="4"/>
        <v>6.270903010033444</v>
      </c>
      <c r="X5" s="1">
        <v>11.96</v>
      </c>
      <c r="Y5" s="1" t="str">
        <f t="shared" si="5"/>
        <v>f/11.3</v>
      </c>
      <c r="Z5" s="1" t="s">
        <v>7</v>
      </c>
      <c r="AA5" s="1" t="s">
        <v>6</v>
      </c>
      <c r="AB5" s="1">
        <v>120</v>
      </c>
      <c r="AC5" s="1" t="s">
        <v>50</v>
      </c>
      <c r="AD5" s="1">
        <f t="shared" si="6"/>
        <v>6.1855670103092786</v>
      </c>
      <c r="AE5" s="1">
        <v>19.399999999999999</v>
      </c>
      <c r="AF5" s="1" t="str">
        <f t="shared" ref="AF5" si="7">"f/"&amp;TEXT(VALUE(SUBSTITUTE(AC5,"f/",""))*AD5, "0.0")</f>
        <v>f/15.5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9404-4B93-4056-9741-F172C7FBE447}">
  <dimension ref="B2:AF6"/>
  <sheetViews>
    <sheetView workbookViewId="0">
      <selection activeCell="F7" sqref="A7:XFD8"/>
    </sheetView>
  </sheetViews>
  <sheetFormatPr defaultColWidth="5.58203125" defaultRowHeight="14" x14ac:dyDescent="0.3"/>
  <cols>
    <col min="1" max="1" width="5.58203125" style="1"/>
    <col min="2" max="2" width="8.58203125" style="1" customWidth="1"/>
    <col min="3" max="3" width="13.1640625" style="1" customWidth="1"/>
    <col min="4" max="32" width="8.58203125" style="1" customWidth="1"/>
    <col min="33" max="16384" width="5.58203125" style="1"/>
  </cols>
  <sheetData>
    <row r="2" spans="2:32" ht="42" x14ac:dyDescent="0.3">
      <c r="B2" s="1" t="s">
        <v>0</v>
      </c>
      <c r="C2" s="1" t="s">
        <v>32</v>
      </c>
      <c r="D2" s="1" t="s">
        <v>33</v>
      </c>
      <c r="E2" s="1" t="s">
        <v>2</v>
      </c>
      <c r="F2" s="1" t="s">
        <v>8</v>
      </c>
      <c r="G2" s="1" t="s">
        <v>23</v>
      </c>
      <c r="H2" s="1" t="s">
        <v>19</v>
      </c>
      <c r="I2" s="1" t="s">
        <v>24</v>
      </c>
      <c r="J2" s="1" t="s">
        <v>12</v>
      </c>
      <c r="K2" s="1" t="s">
        <v>26</v>
      </c>
      <c r="L2" s="1" t="s">
        <v>3</v>
      </c>
      <c r="M2" s="1" t="s">
        <v>9</v>
      </c>
      <c r="N2" s="1" t="s">
        <v>14</v>
      </c>
      <c r="O2" s="1" t="s">
        <v>20</v>
      </c>
      <c r="P2" s="1" t="s">
        <v>25</v>
      </c>
      <c r="Q2" s="1" t="s">
        <v>13</v>
      </c>
      <c r="R2" s="1" t="s">
        <v>27</v>
      </c>
      <c r="S2" s="1" t="s">
        <v>4</v>
      </c>
      <c r="T2" s="1" t="s">
        <v>10</v>
      </c>
      <c r="U2" s="1" t="s">
        <v>16</v>
      </c>
      <c r="V2" s="1" t="s">
        <v>21</v>
      </c>
      <c r="W2" s="1" t="s">
        <v>28</v>
      </c>
      <c r="X2" s="1" t="s">
        <v>15</v>
      </c>
      <c r="Y2" s="1" t="s">
        <v>29</v>
      </c>
      <c r="Z2" s="1" t="s">
        <v>5</v>
      </c>
      <c r="AA2" s="1" t="s">
        <v>11</v>
      </c>
      <c r="AB2" s="1" t="s">
        <v>18</v>
      </c>
      <c r="AC2" s="1" t="s">
        <v>22</v>
      </c>
      <c r="AD2" s="1" t="s">
        <v>30</v>
      </c>
      <c r="AE2" s="1" t="s">
        <v>17</v>
      </c>
      <c r="AF2" s="1" t="s">
        <v>31</v>
      </c>
    </row>
    <row r="3" spans="2:32" ht="28" x14ac:dyDescent="0.3">
      <c r="B3" s="1" t="s">
        <v>70</v>
      </c>
      <c r="C3" s="2" t="s">
        <v>39</v>
      </c>
      <c r="D3" s="1" t="s">
        <v>38</v>
      </c>
      <c r="E3" s="1" t="s">
        <v>7</v>
      </c>
      <c r="F3" s="1" t="s">
        <v>6</v>
      </c>
      <c r="G3" s="1">
        <v>12</v>
      </c>
      <c r="H3" s="1" t="s">
        <v>36</v>
      </c>
      <c r="I3" s="1">
        <f t="shared" ref="I3:I6" si="0">G3/J3</f>
        <v>5.9113300492610845</v>
      </c>
      <c r="J3" s="1">
        <v>2.0299999999999998</v>
      </c>
      <c r="K3" s="1" t="str">
        <f t="shared" ref="K3:K6" si="1">"f/"&amp;TEXT(VALUE(SUBSTITUTE(H3,"f",""))*I3, "0.0")</f>
        <v>f/10.6</v>
      </c>
      <c r="L3" s="1" t="s">
        <v>34</v>
      </c>
      <c r="M3" s="1" t="s">
        <v>35</v>
      </c>
      <c r="N3" s="1">
        <v>23</v>
      </c>
      <c r="O3" s="1" t="s">
        <v>37</v>
      </c>
      <c r="P3" s="1">
        <f t="shared" ref="P3:P6" si="2">N3/Q3</f>
        <v>2.6436781609195403</v>
      </c>
      <c r="Q3" s="1">
        <v>8.6999999999999993</v>
      </c>
      <c r="R3" s="1" t="str">
        <f t="shared" ref="R3:R6" si="3">"f/"&amp;TEXT(VALUE(SUBSTITUTE(O3,"f",""))*P3, "0.0")</f>
        <v>f/5.0</v>
      </c>
      <c r="S3" s="1" t="s">
        <v>7</v>
      </c>
      <c r="T3" s="1" t="s">
        <v>6</v>
      </c>
      <c r="U3" s="1">
        <v>60</v>
      </c>
      <c r="V3" s="1" t="s">
        <v>36</v>
      </c>
      <c r="W3" s="1">
        <f t="shared" ref="W3:W6" si="4">U3/X3</f>
        <v>6.0790273556231007</v>
      </c>
      <c r="X3" s="1">
        <v>9.8699999999999992</v>
      </c>
      <c r="Y3" s="1" t="str">
        <f t="shared" ref="Y3:Y6" si="5">"f/"&amp;TEXT(VALUE(SUBSTITUTE(V3,"f",""))*W3, "0.0")</f>
        <v>f/10.9</v>
      </c>
      <c r="Z3" s="1" t="s">
        <v>7</v>
      </c>
      <c r="AA3" s="1" t="s">
        <v>6</v>
      </c>
      <c r="AB3" s="1">
        <v>120</v>
      </c>
      <c r="AC3" s="1" t="s">
        <v>45</v>
      </c>
      <c r="AD3" s="1">
        <f t="shared" ref="AD3:AD6" si="6">AB3/AE3</f>
        <v>6.1855670103092786</v>
      </c>
      <c r="AE3" s="1">
        <v>19.399999999999999</v>
      </c>
      <c r="AF3" s="1" t="str">
        <f>"f/"&amp;TEXT(VALUE(SUBSTITUTE(AC3,"f/",""))*AD3, "0.0")</f>
        <v>f/18.6</v>
      </c>
    </row>
    <row r="4" spans="2:32" ht="28" x14ac:dyDescent="0.3">
      <c r="B4" s="1" t="s">
        <v>71</v>
      </c>
      <c r="C4" s="2" t="s">
        <v>39</v>
      </c>
      <c r="D4" s="1" t="s">
        <v>38</v>
      </c>
      <c r="E4" s="1" t="s">
        <v>7</v>
      </c>
      <c r="F4" s="1" t="s">
        <v>6</v>
      </c>
      <c r="G4" s="1">
        <v>12</v>
      </c>
      <c r="H4" s="1" t="s">
        <v>36</v>
      </c>
      <c r="I4" s="1">
        <f t="shared" si="0"/>
        <v>5.9113300492610845</v>
      </c>
      <c r="J4" s="1">
        <v>2.0299999999999998</v>
      </c>
      <c r="K4" s="1" t="str">
        <f t="shared" si="1"/>
        <v>f/10.6</v>
      </c>
      <c r="L4" s="1" t="s">
        <v>34</v>
      </c>
      <c r="M4" s="1" t="s">
        <v>35</v>
      </c>
      <c r="N4" s="1">
        <v>23</v>
      </c>
      <c r="O4" s="1" t="s">
        <v>37</v>
      </c>
      <c r="P4" s="1">
        <f t="shared" si="2"/>
        <v>2.6436781609195403</v>
      </c>
      <c r="Q4" s="1">
        <v>8.6999999999999993</v>
      </c>
      <c r="R4" s="1" t="str">
        <f t="shared" si="3"/>
        <v>f/5.0</v>
      </c>
      <c r="S4" s="1" t="s">
        <v>7</v>
      </c>
      <c r="T4" s="1" t="s">
        <v>6</v>
      </c>
      <c r="U4" s="1">
        <v>60</v>
      </c>
      <c r="V4" s="1" t="s">
        <v>36</v>
      </c>
      <c r="W4" s="1">
        <f t="shared" si="4"/>
        <v>6.0790273556231007</v>
      </c>
      <c r="X4" s="1">
        <v>9.8699999999999992</v>
      </c>
      <c r="Y4" s="1" t="str">
        <f t="shared" si="5"/>
        <v>f/10.9</v>
      </c>
      <c r="Z4" s="1" t="s">
        <v>7</v>
      </c>
      <c r="AA4" s="1" t="s">
        <v>6</v>
      </c>
      <c r="AB4" s="1">
        <v>120</v>
      </c>
      <c r="AC4" s="1" t="s">
        <v>45</v>
      </c>
      <c r="AD4" s="1">
        <f t="shared" si="6"/>
        <v>6.1855670103092786</v>
      </c>
      <c r="AE4" s="1">
        <v>19.399999999999999</v>
      </c>
      <c r="AF4" s="1" t="str">
        <f>"f/"&amp;TEXT(VALUE(SUBSTITUTE(AC4,"f/",""))*AD4, "0.0")</f>
        <v>f/18.6</v>
      </c>
    </row>
    <row r="5" spans="2:32" ht="28" x14ac:dyDescent="0.3">
      <c r="B5" s="1" t="s">
        <v>72</v>
      </c>
      <c r="C5" s="2" t="s">
        <v>51</v>
      </c>
      <c r="D5" s="1" t="s">
        <v>38</v>
      </c>
      <c r="E5" s="1" t="s">
        <v>7</v>
      </c>
      <c r="F5" s="1" t="s">
        <v>6</v>
      </c>
      <c r="G5" s="1">
        <v>12</v>
      </c>
      <c r="H5" s="1" t="s">
        <v>36</v>
      </c>
      <c r="I5" s="1">
        <f t="shared" si="0"/>
        <v>5.9113300492610845</v>
      </c>
      <c r="J5" s="1">
        <v>2.0299999999999998</v>
      </c>
      <c r="K5" s="1" t="str">
        <f t="shared" si="1"/>
        <v>f/10.6</v>
      </c>
      <c r="L5" s="1" t="s">
        <v>41</v>
      </c>
      <c r="M5" s="1" t="s">
        <v>35</v>
      </c>
      <c r="N5" s="1">
        <v>23</v>
      </c>
      <c r="O5" s="1" t="s">
        <v>42</v>
      </c>
      <c r="P5" s="1">
        <f t="shared" si="2"/>
        <v>2.6436781609195403</v>
      </c>
      <c r="Q5" s="1">
        <v>8.6999999999999993</v>
      </c>
      <c r="R5" s="1" t="str">
        <f t="shared" si="3"/>
        <v>f/4.3</v>
      </c>
      <c r="S5" s="1" t="s">
        <v>7</v>
      </c>
      <c r="T5" s="1" t="s">
        <v>6</v>
      </c>
      <c r="U5" s="1">
        <v>75</v>
      </c>
      <c r="V5" s="1" t="s">
        <v>36</v>
      </c>
      <c r="W5" s="1">
        <f t="shared" si="4"/>
        <v>6.270903010033444</v>
      </c>
      <c r="X5" s="1">
        <v>11.96</v>
      </c>
      <c r="Y5" s="1" t="str">
        <f t="shared" si="5"/>
        <v>f/11.3</v>
      </c>
      <c r="Z5" s="1" t="s">
        <v>7</v>
      </c>
      <c r="AA5" s="1" t="s">
        <v>6</v>
      </c>
      <c r="AB5" s="1">
        <v>120</v>
      </c>
      <c r="AC5" s="1" t="s">
        <v>50</v>
      </c>
      <c r="AD5" s="1">
        <f t="shared" si="6"/>
        <v>6.1855670103092786</v>
      </c>
      <c r="AE5" s="1">
        <v>19.399999999999999</v>
      </c>
      <c r="AF5" s="1" t="str">
        <f t="shared" ref="AF5:AF6" si="7">"f/"&amp;TEXT(VALUE(SUBSTITUTE(AC5,"f/",""))*AD5, "0.0")</f>
        <v>f/15.5</v>
      </c>
    </row>
    <row r="6" spans="2:32" ht="28" x14ac:dyDescent="0.3">
      <c r="B6" s="1" t="s">
        <v>73</v>
      </c>
      <c r="C6" s="2" t="s">
        <v>51</v>
      </c>
      <c r="D6" s="1" t="s">
        <v>38</v>
      </c>
      <c r="E6" s="1" t="s">
        <v>7</v>
      </c>
      <c r="F6" s="1" t="s">
        <v>6</v>
      </c>
      <c r="G6" s="1">
        <v>12</v>
      </c>
      <c r="H6" s="1" t="s">
        <v>36</v>
      </c>
      <c r="I6" s="1">
        <f t="shared" si="0"/>
        <v>5.9113300492610845</v>
      </c>
      <c r="J6" s="1">
        <v>2.0299999999999998</v>
      </c>
      <c r="K6" s="1" t="str">
        <f t="shared" si="1"/>
        <v>f/10.6</v>
      </c>
      <c r="L6" s="1" t="s">
        <v>41</v>
      </c>
      <c r="M6" s="1" t="s">
        <v>35</v>
      </c>
      <c r="N6" s="1">
        <v>23</v>
      </c>
      <c r="O6" s="1" t="s">
        <v>42</v>
      </c>
      <c r="P6" s="1">
        <f t="shared" si="2"/>
        <v>2.6436781609195403</v>
      </c>
      <c r="Q6" s="1">
        <v>8.6999999999999993</v>
      </c>
      <c r="R6" s="1" t="str">
        <f t="shared" si="3"/>
        <v>f/4.3</v>
      </c>
      <c r="S6" s="1" t="s">
        <v>7</v>
      </c>
      <c r="T6" s="1" t="s">
        <v>6</v>
      </c>
      <c r="U6" s="1">
        <v>75</v>
      </c>
      <c r="V6" s="1" t="s">
        <v>36</v>
      </c>
      <c r="W6" s="1">
        <f t="shared" si="4"/>
        <v>6.270903010033444</v>
      </c>
      <c r="X6" s="1">
        <v>11.96</v>
      </c>
      <c r="Y6" s="1" t="str">
        <f t="shared" si="5"/>
        <v>f/11.3</v>
      </c>
      <c r="Z6" s="1" t="s">
        <v>7</v>
      </c>
      <c r="AA6" s="1" t="s">
        <v>6</v>
      </c>
      <c r="AB6" s="1">
        <v>120</v>
      </c>
      <c r="AC6" s="1" t="s">
        <v>50</v>
      </c>
      <c r="AD6" s="1">
        <f t="shared" si="6"/>
        <v>6.1855670103092786</v>
      </c>
      <c r="AE6" s="1">
        <v>19.399999999999999</v>
      </c>
      <c r="AF6" s="1" t="str">
        <f t="shared" si="7"/>
        <v>f/15.5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CDC3-8222-4706-94E5-F7337A99338D}">
  <dimension ref="B2:AF6"/>
  <sheetViews>
    <sheetView workbookViewId="0">
      <selection activeCell="A7" sqref="A7:XFD8"/>
    </sheetView>
  </sheetViews>
  <sheetFormatPr defaultColWidth="5.58203125" defaultRowHeight="14" x14ac:dyDescent="0.3"/>
  <cols>
    <col min="1" max="1" width="5.58203125" style="1"/>
    <col min="2" max="2" width="8.58203125" style="1" customWidth="1"/>
    <col min="3" max="3" width="13.1640625" style="1" customWidth="1"/>
    <col min="4" max="32" width="8.58203125" style="1" customWidth="1"/>
    <col min="33" max="16384" width="5.58203125" style="1"/>
  </cols>
  <sheetData>
    <row r="2" spans="2:32" ht="42" x14ac:dyDescent="0.3">
      <c r="B2" s="1" t="s">
        <v>0</v>
      </c>
      <c r="C2" s="1" t="s">
        <v>32</v>
      </c>
      <c r="D2" s="1" t="s">
        <v>33</v>
      </c>
      <c r="E2" s="1" t="s">
        <v>2</v>
      </c>
      <c r="F2" s="1" t="s">
        <v>8</v>
      </c>
      <c r="G2" s="1" t="s">
        <v>23</v>
      </c>
      <c r="H2" s="1" t="s">
        <v>19</v>
      </c>
      <c r="I2" s="1" t="s">
        <v>24</v>
      </c>
      <c r="J2" s="1" t="s">
        <v>12</v>
      </c>
      <c r="K2" s="1" t="s">
        <v>26</v>
      </c>
      <c r="L2" s="1" t="s">
        <v>3</v>
      </c>
      <c r="M2" s="1" t="s">
        <v>9</v>
      </c>
      <c r="N2" s="1" t="s">
        <v>14</v>
      </c>
      <c r="O2" s="1" t="s">
        <v>20</v>
      </c>
      <c r="P2" s="1" t="s">
        <v>25</v>
      </c>
      <c r="Q2" s="1" t="s">
        <v>13</v>
      </c>
      <c r="R2" s="1" t="s">
        <v>27</v>
      </c>
      <c r="S2" s="1" t="s">
        <v>4</v>
      </c>
      <c r="T2" s="1" t="s">
        <v>10</v>
      </c>
      <c r="U2" s="1" t="s">
        <v>16</v>
      </c>
      <c r="V2" s="1" t="s">
        <v>21</v>
      </c>
      <c r="W2" s="1" t="s">
        <v>28</v>
      </c>
      <c r="X2" s="1" t="s">
        <v>15</v>
      </c>
      <c r="Y2" s="1" t="s">
        <v>29</v>
      </c>
      <c r="Z2" s="1" t="s">
        <v>5</v>
      </c>
      <c r="AA2" s="1" t="s">
        <v>11</v>
      </c>
      <c r="AB2" s="1" t="s">
        <v>18</v>
      </c>
      <c r="AC2" s="1" t="s">
        <v>22</v>
      </c>
      <c r="AD2" s="1" t="s">
        <v>30</v>
      </c>
      <c r="AE2" s="1" t="s">
        <v>17</v>
      </c>
      <c r="AF2" s="1" t="s">
        <v>31</v>
      </c>
    </row>
    <row r="3" spans="2:32" ht="28" x14ac:dyDescent="0.3">
      <c r="B3" s="1" t="s">
        <v>74</v>
      </c>
      <c r="C3" s="2" t="s">
        <v>39</v>
      </c>
      <c r="D3" s="1" t="s">
        <v>38</v>
      </c>
      <c r="E3" s="1" t="s">
        <v>7</v>
      </c>
      <c r="F3" s="1" t="s">
        <v>6</v>
      </c>
      <c r="G3" s="1">
        <v>12</v>
      </c>
      <c r="H3" s="1" t="s">
        <v>36</v>
      </c>
      <c r="I3" s="1">
        <f t="shared" ref="I3:I6" si="0">G3/J3</f>
        <v>5.9113300492610845</v>
      </c>
      <c r="J3" s="1">
        <v>2.0299999999999998</v>
      </c>
      <c r="K3" s="1" t="str">
        <f t="shared" ref="K3:K6" si="1">"f/"&amp;TEXT(VALUE(SUBSTITUTE(H3,"f",""))*I3, "0.0")</f>
        <v>f/10.6</v>
      </c>
      <c r="L3" s="1" t="s">
        <v>34</v>
      </c>
      <c r="M3" s="1" t="s">
        <v>35</v>
      </c>
      <c r="N3" s="1">
        <v>23</v>
      </c>
      <c r="O3" s="1" t="s">
        <v>37</v>
      </c>
      <c r="P3" s="1">
        <f t="shared" ref="P3:P6" si="2">N3/Q3</f>
        <v>2.6436781609195403</v>
      </c>
      <c r="Q3" s="1">
        <v>8.6999999999999993</v>
      </c>
      <c r="R3" s="1" t="str">
        <f t="shared" ref="R3:R6" si="3">"f/"&amp;TEXT(VALUE(SUBSTITUTE(O3,"f",""))*P3, "0.0")</f>
        <v>f/5.0</v>
      </c>
      <c r="S3" s="1" t="s">
        <v>7</v>
      </c>
      <c r="T3" s="1" t="s">
        <v>6</v>
      </c>
      <c r="U3" s="1">
        <v>60</v>
      </c>
      <c r="V3" s="1" t="s">
        <v>36</v>
      </c>
      <c r="W3" s="1">
        <f t="shared" ref="W3:W6" si="4">U3/X3</f>
        <v>6.0790273556231007</v>
      </c>
      <c r="X3" s="1">
        <v>9.8699999999999992</v>
      </c>
      <c r="Y3" s="1" t="str">
        <f t="shared" ref="Y3:Y6" si="5">"f/"&amp;TEXT(VALUE(SUBSTITUTE(V3,"f",""))*W3, "0.0")</f>
        <v>f/10.9</v>
      </c>
      <c r="Z3" s="1" t="s">
        <v>7</v>
      </c>
      <c r="AA3" s="1" t="s">
        <v>6</v>
      </c>
      <c r="AB3" s="1">
        <v>120</v>
      </c>
      <c r="AC3" s="1" t="s">
        <v>45</v>
      </c>
      <c r="AD3" s="1">
        <f t="shared" ref="AD3:AD6" si="6">AB3/AE3</f>
        <v>6.1855670103092786</v>
      </c>
      <c r="AE3" s="1">
        <v>19.399999999999999</v>
      </c>
      <c r="AF3" s="1" t="str">
        <f>"f/"&amp;TEXT(VALUE(SUBSTITUTE(AC3,"f/",""))*AD3, "0.0")</f>
        <v>f/18.6</v>
      </c>
    </row>
    <row r="4" spans="2:32" ht="28" x14ac:dyDescent="0.3">
      <c r="B4" s="1" t="s">
        <v>75</v>
      </c>
      <c r="C4" s="2" t="s">
        <v>39</v>
      </c>
      <c r="D4" s="1" t="s">
        <v>38</v>
      </c>
      <c r="E4" s="1" t="s">
        <v>7</v>
      </c>
      <c r="F4" s="1" t="s">
        <v>6</v>
      </c>
      <c r="G4" s="1">
        <v>12</v>
      </c>
      <c r="H4" s="1" t="s">
        <v>36</v>
      </c>
      <c r="I4" s="1">
        <f t="shared" si="0"/>
        <v>5.9113300492610845</v>
      </c>
      <c r="J4" s="1">
        <v>2.0299999999999998</v>
      </c>
      <c r="K4" s="1" t="str">
        <f t="shared" si="1"/>
        <v>f/10.6</v>
      </c>
      <c r="L4" s="1" t="s">
        <v>34</v>
      </c>
      <c r="M4" s="1" t="s">
        <v>35</v>
      </c>
      <c r="N4" s="1">
        <v>23</v>
      </c>
      <c r="O4" s="1" t="s">
        <v>37</v>
      </c>
      <c r="P4" s="1">
        <f t="shared" si="2"/>
        <v>2.6436781609195403</v>
      </c>
      <c r="Q4" s="1">
        <v>8.6999999999999993</v>
      </c>
      <c r="R4" s="1" t="str">
        <f t="shared" si="3"/>
        <v>f/5.0</v>
      </c>
      <c r="S4" s="1" t="s">
        <v>7</v>
      </c>
      <c r="T4" s="1" t="s">
        <v>6</v>
      </c>
      <c r="U4" s="1">
        <v>60</v>
      </c>
      <c r="V4" s="1" t="s">
        <v>36</v>
      </c>
      <c r="W4" s="1">
        <f t="shared" si="4"/>
        <v>6.0790273556231007</v>
      </c>
      <c r="X4" s="1">
        <v>9.8699999999999992</v>
      </c>
      <c r="Y4" s="1" t="str">
        <f t="shared" si="5"/>
        <v>f/10.9</v>
      </c>
      <c r="Z4" s="1" t="s">
        <v>7</v>
      </c>
      <c r="AA4" s="1" t="s">
        <v>6</v>
      </c>
      <c r="AB4" s="1">
        <v>120</v>
      </c>
      <c r="AC4" s="1" t="s">
        <v>45</v>
      </c>
      <c r="AD4" s="1">
        <f t="shared" si="6"/>
        <v>6.1855670103092786</v>
      </c>
      <c r="AE4" s="1">
        <v>19.399999999999999</v>
      </c>
      <c r="AF4" s="1" t="str">
        <f>"f/"&amp;TEXT(VALUE(SUBSTITUTE(AC4,"f/",""))*AD4, "0.0")</f>
        <v>f/18.6</v>
      </c>
    </row>
    <row r="5" spans="2:32" ht="28" x14ac:dyDescent="0.3">
      <c r="B5" s="1" t="s">
        <v>76</v>
      </c>
      <c r="C5" s="2" t="s">
        <v>51</v>
      </c>
      <c r="D5" s="1" t="s">
        <v>38</v>
      </c>
      <c r="E5" s="1" t="s">
        <v>7</v>
      </c>
      <c r="F5" s="1" t="s">
        <v>6</v>
      </c>
      <c r="G5" s="1">
        <v>12</v>
      </c>
      <c r="H5" s="1" t="s">
        <v>36</v>
      </c>
      <c r="I5" s="1">
        <f t="shared" si="0"/>
        <v>5.9113300492610845</v>
      </c>
      <c r="J5" s="1">
        <v>2.0299999999999998</v>
      </c>
      <c r="K5" s="1" t="str">
        <f t="shared" si="1"/>
        <v>f/10.6</v>
      </c>
      <c r="L5" s="1" t="s">
        <v>41</v>
      </c>
      <c r="M5" s="1" t="s">
        <v>35</v>
      </c>
      <c r="N5" s="1">
        <v>23</v>
      </c>
      <c r="O5" s="1" t="s">
        <v>42</v>
      </c>
      <c r="P5" s="1">
        <f t="shared" si="2"/>
        <v>2.6436781609195403</v>
      </c>
      <c r="Q5" s="1">
        <v>8.6999999999999993</v>
      </c>
      <c r="R5" s="1" t="str">
        <f t="shared" si="3"/>
        <v>f/4.3</v>
      </c>
      <c r="S5" s="1" t="s">
        <v>7</v>
      </c>
      <c r="T5" s="1" t="s">
        <v>6</v>
      </c>
      <c r="U5" s="1">
        <v>75</v>
      </c>
      <c r="V5" s="1" t="s">
        <v>36</v>
      </c>
      <c r="W5" s="1">
        <f t="shared" si="4"/>
        <v>6.270903010033444</v>
      </c>
      <c r="X5" s="1">
        <v>11.96</v>
      </c>
      <c r="Y5" s="1" t="str">
        <f t="shared" si="5"/>
        <v>f/11.3</v>
      </c>
      <c r="Z5" s="1" t="s">
        <v>7</v>
      </c>
      <c r="AA5" s="1" t="s">
        <v>6</v>
      </c>
      <c r="AB5" s="1">
        <v>120</v>
      </c>
      <c r="AC5" s="1" t="s">
        <v>50</v>
      </c>
      <c r="AD5" s="1">
        <f t="shared" si="6"/>
        <v>6.1855670103092786</v>
      </c>
      <c r="AE5" s="1">
        <v>19.399999999999999</v>
      </c>
      <c r="AF5" s="1" t="str">
        <f t="shared" ref="AF5:AF6" si="7">"f/"&amp;TEXT(VALUE(SUBSTITUTE(AC5,"f/",""))*AD5, "0.0")</f>
        <v>f/15.5</v>
      </c>
    </row>
    <row r="6" spans="2:32" ht="28" x14ac:dyDescent="0.3">
      <c r="B6" s="1" t="s">
        <v>77</v>
      </c>
      <c r="C6" s="2" t="s">
        <v>51</v>
      </c>
      <c r="D6" s="1" t="s">
        <v>38</v>
      </c>
      <c r="E6" s="1" t="s">
        <v>7</v>
      </c>
      <c r="F6" s="1" t="s">
        <v>6</v>
      </c>
      <c r="G6" s="1">
        <v>12</v>
      </c>
      <c r="H6" s="1" t="s">
        <v>36</v>
      </c>
      <c r="I6" s="1">
        <f t="shared" si="0"/>
        <v>5.9113300492610845</v>
      </c>
      <c r="J6" s="1">
        <v>2.0299999999999998</v>
      </c>
      <c r="K6" s="1" t="str">
        <f t="shared" si="1"/>
        <v>f/10.6</v>
      </c>
      <c r="L6" s="1" t="s">
        <v>41</v>
      </c>
      <c r="M6" s="1" t="s">
        <v>35</v>
      </c>
      <c r="N6" s="1">
        <v>23</v>
      </c>
      <c r="O6" s="1" t="s">
        <v>42</v>
      </c>
      <c r="P6" s="1">
        <f t="shared" si="2"/>
        <v>2.6436781609195403</v>
      </c>
      <c r="Q6" s="1">
        <v>8.6999999999999993</v>
      </c>
      <c r="R6" s="1" t="str">
        <f t="shared" si="3"/>
        <v>f/4.3</v>
      </c>
      <c r="S6" s="1" t="s">
        <v>7</v>
      </c>
      <c r="T6" s="1" t="s">
        <v>6</v>
      </c>
      <c r="U6" s="1">
        <v>75</v>
      </c>
      <c r="V6" s="1" t="s">
        <v>36</v>
      </c>
      <c r="W6" s="1">
        <f t="shared" si="4"/>
        <v>6.270903010033444</v>
      </c>
      <c r="X6" s="1">
        <v>11.96</v>
      </c>
      <c r="Y6" s="1" t="str">
        <f t="shared" si="5"/>
        <v>f/11.3</v>
      </c>
      <c r="Z6" s="1" t="s">
        <v>7</v>
      </c>
      <c r="AA6" s="1" t="s">
        <v>6</v>
      </c>
      <c r="AB6" s="1">
        <v>120</v>
      </c>
      <c r="AC6" s="1" t="s">
        <v>50</v>
      </c>
      <c r="AD6" s="1">
        <f t="shared" si="6"/>
        <v>6.1855670103092786</v>
      </c>
      <c r="AE6" s="1">
        <v>19.399999999999999</v>
      </c>
      <c r="AF6" s="1" t="str">
        <f t="shared" si="7"/>
        <v>f/15.5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1918-00E5-4170-B6F4-F0E4FC707E88}">
  <dimension ref="B2:AF8"/>
  <sheetViews>
    <sheetView workbookViewId="0">
      <selection activeCell="S27" sqref="S27"/>
    </sheetView>
  </sheetViews>
  <sheetFormatPr defaultColWidth="5.58203125" defaultRowHeight="14" x14ac:dyDescent="0.3"/>
  <cols>
    <col min="1" max="1" width="5.58203125" style="1"/>
    <col min="2" max="2" width="8.58203125" style="1" customWidth="1"/>
    <col min="3" max="3" width="13.1640625" style="1" customWidth="1"/>
    <col min="4" max="32" width="8.58203125" style="1" customWidth="1"/>
    <col min="33" max="16384" width="5.58203125" style="1"/>
  </cols>
  <sheetData>
    <row r="2" spans="2:32" ht="42" x14ac:dyDescent="0.3">
      <c r="B2" s="1" t="s">
        <v>0</v>
      </c>
      <c r="C2" s="1" t="s">
        <v>32</v>
      </c>
      <c r="D2" s="1" t="s">
        <v>33</v>
      </c>
      <c r="E2" s="1" t="s">
        <v>2</v>
      </c>
      <c r="F2" s="1" t="s">
        <v>8</v>
      </c>
      <c r="G2" s="1" t="s">
        <v>23</v>
      </c>
      <c r="H2" s="1" t="s">
        <v>19</v>
      </c>
      <c r="I2" s="1" t="s">
        <v>24</v>
      </c>
      <c r="J2" s="1" t="s">
        <v>12</v>
      </c>
      <c r="K2" s="1" t="s">
        <v>26</v>
      </c>
      <c r="L2" s="1" t="s">
        <v>3</v>
      </c>
      <c r="M2" s="1" t="s">
        <v>9</v>
      </c>
      <c r="N2" s="1" t="s">
        <v>14</v>
      </c>
      <c r="O2" s="1" t="s">
        <v>20</v>
      </c>
      <c r="P2" s="1" t="s">
        <v>25</v>
      </c>
      <c r="Q2" s="1" t="s">
        <v>13</v>
      </c>
      <c r="R2" s="1" t="s">
        <v>27</v>
      </c>
      <c r="S2" s="1" t="s">
        <v>4</v>
      </c>
      <c r="T2" s="1" t="s">
        <v>10</v>
      </c>
      <c r="U2" s="1" t="s">
        <v>16</v>
      </c>
      <c r="V2" s="1" t="s">
        <v>21</v>
      </c>
      <c r="W2" s="1" t="s">
        <v>28</v>
      </c>
      <c r="X2" s="1" t="s">
        <v>15</v>
      </c>
      <c r="Y2" s="1" t="s">
        <v>29</v>
      </c>
      <c r="Z2" s="1" t="s">
        <v>5</v>
      </c>
      <c r="AA2" s="1" t="s">
        <v>11</v>
      </c>
      <c r="AB2" s="1" t="s">
        <v>18</v>
      </c>
      <c r="AC2" s="1" t="s">
        <v>22</v>
      </c>
      <c r="AD2" s="1" t="s">
        <v>30</v>
      </c>
      <c r="AE2" s="1" t="s">
        <v>17</v>
      </c>
      <c r="AF2" s="1" t="s">
        <v>31</v>
      </c>
    </row>
    <row r="3" spans="2:32" ht="28" x14ac:dyDescent="0.3">
      <c r="B3" s="1" t="s">
        <v>82</v>
      </c>
      <c r="C3" s="2" t="s">
        <v>39</v>
      </c>
      <c r="D3" s="1" t="s">
        <v>38</v>
      </c>
      <c r="E3" s="1" t="s">
        <v>7</v>
      </c>
      <c r="F3" s="1" t="s">
        <v>6</v>
      </c>
      <c r="G3" s="1">
        <v>12</v>
      </c>
      <c r="H3" s="1" t="s">
        <v>36</v>
      </c>
      <c r="I3" s="1">
        <f t="shared" ref="I3:I8" si="0">G3/J3</f>
        <v>5.9113300492610845</v>
      </c>
      <c r="J3" s="1">
        <v>2.0299999999999998</v>
      </c>
      <c r="K3" s="1" t="str">
        <f t="shared" ref="K3:K8" si="1">"f/"&amp;TEXT(VALUE(SUBSTITUTE(H3,"f",""))*I3, "0.0")</f>
        <v>f/10.6</v>
      </c>
      <c r="L3" s="1" t="s">
        <v>34</v>
      </c>
      <c r="M3" s="1" t="s">
        <v>35</v>
      </c>
      <c r="N3" s="1">
        <v>23</v>
      </c>
      <c r="O3" s="1" t="s">
        <v>37</v>
      </c>
      <c r="P3" s="1">
        <f t="shared" ref="P3:P8" si="2">N3/Q3</f>
        <v>2.6436781609195403</v>
      </c>
      <c r="Q3" s="1">
        <v>8.6999999999999993</v>
      </c>
      <c r="R3" s="1" t="str">
        <f t="shared" ref="R3:R8" si="3">"f/"&amp;TEXT(VALUE(SUBSTITUTE(O3,"f",""))*P3, "0.0")</f>
        <v>f/5.0</v>
      </c>
      <c r="S3" s="1" t="s">
        <v>7</v>
      </c>
      <c r="T3" s="1" t="s">
        <v>6</v>
      </c>
      <c r="U3" s="1">
        <v>60</v>
      </c>
      <c r="V3" s="1" t="s">
        <v>36</v>
      </c>
      <c r="W3" s="1">
        <f t="shared" ref="W3:W8" si="4">U3/X3</f>
        <v>6.0790273556231007</v>
      </c>
      <c r="X3" s="1">
        <v>9.8699999999999992</v>
      </c>
      <c r="Y3" s="1" t="str">
        <f t="shared" ref="Y3:Y8" si="5">"f/"&amp;TEXT(VALUE(SUBSTITUTE(V3,"f",""))*W3, "0.0")</f>
        <v>f/10.9</v>
      </c>
      <c r="Z3" s="1" t="s">
        <v>7</v>
      </c>
      <c r="AA3" s="1" t="s">
        <v>6</v>
      </c>
      <c r="AB3" s="1">
        <v>120</v>
      </c>
      <c r="AC3" s="1" t="s">
        <v>45</v>
      </c>
      <c r="AD3" s="1">
        <f t="shared" ref="AD3:AD8" si="6">AB3/AE3</f>
        <v>6.1855670103092786</v>
      </c>
      <c r="AE3" s="1">
        <v>19.399999999999999</v>
      </c>
      <c r="AF3" s="1" t="str">
        <f>"f/"&amp;TEXT(VALUE(SUBSTITUTE(AC3,"f/",""))*AD3, "0.0")</f>
        <v>f/18.6</v>
      </c>
    </row>
    <row r="4" spans="2:32" ht="28" x14ac:dyDescent="0.3">
      <c r="B4" s="1" t="s">
        <v>83</v>
      </c>
      <c r="C4" s="2" t="s">
        <v>39</v>
      </c>
      <c r="D4" s="1" t="s">
        <v>38</v>
      </c>
      <c r="E4" s="1" t="s">
        <v>7</v>
      </c>
      <c r="F4" s="1" t="s">
        <v>6</v>
      </c>
      <c r="G4" s="1">
        <v>12</v>
      </c>
      <c r="H4" s="1" t="s">
        <v>36</v>
      </c>
      <c r="I4" s="1">
        <f t="shared" si="0"/>
        <v>5.9113300492610845</v>
      </c>
      <c r="J4" s="1">
        <v>2.0299999999999998</v>
      </c>
      <c r="K4" s="1" t="str">
        <f t="shared" si="1"/>
        <v>f/10.6</v>
      </c>
      <c r="L4" s="1" t="s">
        <v>34</v>
      </c>
      <c r="M4" s="1" t="s">
        <v>35</v>
      </c>
      <c r="N4" s="1">
        <v>23</v>
      </c>
      <c r="O4" s="1" t="s">
        <v>37</v>
      </c>
      <c r="P4" s="1">
        <f t="shared" si="2"/>
        <v>2.6436781609195403</v>
      </c>
      <c r="Q4" s="1">
        <v>8.6999999999999993</v>
      </c>
      <c r="R4" s="1" t="str">
        <f t="shared" si="3"/>
        <v>f/5.0</v>
      </c>
      <c r="S4" s="1" t="s">
        <v>7</v>
      </c>
      <c r="T4" s="1" t="s">
        <v>6</v>
      </c>
      <c r="U4" s="1">
        <v>60</v>
      </c>
      <c r="V4" s="1" t="s">
        <v>36</v>
      </c>
      <c r="W4" s="1">
        <f t="shared" si="4"/>
        <v>6.0790273556231007</v>
      </c>
      <c r="X4" s="1">
        <v>9.8699999999999992</v>
      </c>
      <c r="Y4" s="1" t="str">
        <f t="shared" si="5"/>
        <v>f/10.9</v>
      </c>
      <c r="Z4" s="1" t="s">
        <v>7</v>
      </c>
      <c r="AA4" s="1" t="s">
        <v>6</v>
      </c>
      <c r="AB4" s="1">
        <v>120</v>
      </c>
      <c r="AC4" s="1" t="s">
        <v>45</v>
      </c>
      <c r="AD4" s="1">
        <f t="shared" si="6"/>
        <v>6.1855670103092786</v>
      </c>
      <c r="AE4" s="1">
        <v>19.399999999999999</v>
      </c>
      <c r="AF4" s="1" t="str">
        <f>"f/"&amp;TEXT(VALUE(SUBSTITUTE(AC4,"f/",""))*AD4, "0.0")</f>
        <v>f/18.6</v>
      </c>
    </row>
    <row r="5" spans="2:32" ht="28" x14ac:dyDescent="0.3">
      <c r="B5" s="1" t="s">
        <v>81</v>
      </c>
      <c r="C5" s="2" t="s">
        <v>51</v>
      </c>
      <c r="D5" s="1" t="s">
        <v>38</v>
      </c>
      <c r="E5" s="1" t="s">
        <v>7</v>
      </c>
      <c r="F5" s="1" t="s">
        <v>6</v>
      </c>
      <c r="G5" s="1">
        <v>12</v>
      </c>
      <c r="H5" s="1" t="s">
        <v>36</v>
      </c>
      <c r="I5" s="1">
        <f t="shared" si="0"/>
        <v>5.9113300492610845</v>
      </c>
      <c r="J5" s="1">
        <v>2.0299999999999998</v>
      </c>
      <c r="K5" s="1" t="str">
        <f t="shared" si="1"/>
        <v>f/10.6</v>
      </c>
      <c r="L5" s="1" t="s">
        <v>41</v>
      </c>
      <c r="M5" s="1" t="s">
        <v>35</v>
      </c>
      <c r="N5" s="1">
        <v>23</v>
      </c>
      <c r="O5" s="1" t="s">
        <v>42</v>
      </c>
      <c r="P5" s="1">
        <f t="shared" si="2"/>
        <v>2.6436781609195403</v>
      </c>
      <c r="Q5" s="1">
        <v>8.6999999999999993</v>
      </c>
      <c r="R5" s="1" t="str">
        <f t="shared" si="3"/>
        <v>f/4.3</v>
      </c>
      <c r="S5" s="1" t="s">
        <v>7</v>
      </c>
      <c r="T5" s="1" t="s">
        <v>6</v>
      </c>
      <c r="U5" s="1">
        <v>75</v>
      </c>
      <c r="V5" s="1" t="s">
        <v>36</v>
      </c>
      <c r="W5" s="1">
        <f t="shared" si="4"/>
        <v>6.270903010033444</v>
      </c>
      <c r="X5" s="1">
        <v>11.96</v>
      </c>
      <c r="Y5" s="1" t="str">
        <f t="shared" si="5"/>
        <v>f/11.3</v>
      </c>
      <c r="Z5" s="1" t="s">
        <v>7</v>
      </c>
      <c r="AA5" s="1" t="s">
        <v>6</v>
      </c>
      <c r="AB5" s="1">
        <v>120</v>
      </c>
      <c r="AC5" s="1" t="s">
        <v>50</v>
      </c>
      <c r="AD5" s="1">
        <f t="shared" si="6"/>
        <v>6.1855670103092786</v>
      </c>
      <c r="AE5" s="1">
        <v>19.399999999999999</v>
      </c>
      <c r="AF5" s="1" t="str">
        <f t="shared" ref="AF5:AF8" si="7">"f/"&amp;TEXT(VALUE(SUBSTITUTE(AC5,"f/",""))*AD5, "0.0")</f>
        <v>f/15.5</v>
      </c>
    </row>
    <row r="6" spans="2:32" ht="28" x14ac:dyDescent="0.3">
      <c r="B6" s="1" t="s">
        <v>80</v>
      </c>
      <c r="C6" s="2" t="s">
        <v>51</v>
      </c>
      <c r="D6" s="1" t="s">
        <v>38</v>
      </c>
      <c r="E6" s="1" t="s">
        <v>7</v>
      </c>
      <c r="F6" s="1" t="s">
        <v>6</v>
      </c>
      <c r="G6" s="1">
        <v>12</v>
      </c>
      <c r="H6" s="1" t="s">
        <v>36</v>
      </c>
      <c r="I6" s="1">
        <f t="shared" si="0"/>
        <v>5.9113300492610845</v>
      </c>
      <c r="J6" s="1">
        <v>2.0299999999999998</v>
      </c>
      <c r="K6" s="1" t="str">
        <f t="shared" si="1"/>
        <v>f/10.6</v>
      </c>
      <c r="L6" s="1" t="s">
        <v>41</v>
      </c>
      <c r="M6" s="1" t="s">
        <v>35</v>
      </c>
      <c r="N6" s="1">
        <v>23</v>
      </c>
      <c r="O6" s="1" t="s">
        <v>42</v>
      </c>
      <c r="P6" s="1">
        <f t="shared" si="2"/>
        <v>2.6436781609195403</v>
      </c>
      <c r="Q6" s="1">
        <v>8.6999999999999993</v>
      </c>
      <c r="R6" s="1" t="str">
        <f t="shared" si="3"/>
        <v>f/4.3</v>
      </c>
      <c r="S6" s="1" t="s">
        <v>7</v>
      </c>
      <c r="T6" s="1" t="s">
        <v>6</v>
      </c>
      <c r="U6" s="1">
        <v>75</v>
      </c>
      <c r="V6" s="1" t="s">
        <v>36</v>
      </c>
      <c r="W6" s="1">
        <f t="shared" si="4"/>
        <v>6.270903010033444</v>
      </c>
      <c r="X6" s="1">
        <v>11.96</v>
      </c>
      <c r="Y6" s="1" t="str">
        <f t="shared" si="5"/>
        <v>f/11.3</v>
      </c>
      <c r="Z6" s="1" t="s">
        <v>7</v>
      </c>
      <c r="AA6" s="1" t="s">
        <v>6</v>
      </c>
      <c r="AB6" s="1">
        <v>120</v>
      </c>
      <c r="AC6" s="1" t="s">
        <v>50</v>
      </c>
      <c r="AD6" s="1">
        <f t="shared" si="6"/>
        <v>6.1855670103092786</v>
      </c>
      <c r="AE6" s="1">
        <v>19.399999999999999</v>
      </c>
      <c r="AF6" s="1" t="str">
        <f t="shared" si="7"/>
        <v>f/15.5</v>
      </c>
    </row>
    <row r="7" spans="2:32" ht="28" x14ac:dyDescent="0.3">
      <c r="B7" s="1" t="s">
        <v>79</v>
      </c>
      <c r="C7" s="2" t="s">
        <v>52</v>
      </c>
      <c r="D7" s="1" t="s">
        <v>38</v>
      </c>
      <c r="E7" s="1" t="s">
        <v>48</v>
      </c>
      <c r="F7" s="1" t="s">
        <v>47</v>
      </c>
      <c r="G7" s="1">
        <v>14</v>
      </c>
      <c r="H7" s="1" t="s">
        <v>43</v>
      </c>
      <c r="I7" s="1">
        <f t="shared" si="0"/>
        <v>6.8965517241379315</v>
      </c>
      <c r="J7" s="1">
        <v>2.0299999999999998</v>
      </c>
      <c r="K7" s="1" t="str">
        <f t="shared" si="1"/>
        <v>f/15.2</v>
      </c>
      <c r="L7" s="1" t="s">
        <v>41</v>
      </c>
      <c r="M7" s="1" t="s">
        <v>35</v>
      </c>
      <c r="N7" s="1">
        <v>23</v>
      </c>
      <c r="O7" s="1" t="s">
        <v>42</v>
      </c>
      <c r="P7" s="1">
        <f t="shared" si="2"/>
        <v>2.6436781609195403</v>
      </c>
      <c r="Q7" s="1">
        <v>8.6999999999999993</v>
      </c>
      <c r="R7" s="1" t="str">
        <f t="shared" si="3"/>
        <v>f/4.3</v>
      </c>
      <c r="S7" s="1" t="s">
        <v>7</v>
      </c>
      <c r="T7" s="1" t="s">
        <v>6</v>
      </c>
      <c r="U7" s="1">
        <v>70</v>
      </c>
      <c r="V7" s="1" t="s">
        <v>36</v>
      </c>
      <c r="W7" s="1">
        <f t="shared" si="4"/>
        <v>6.2724014336917566</v>
      </c>
      <c r="X7" s="1">
        <v>11.16</v>
      </c>
      <c r="Y7" s="1" t="str">
        <f t="shared" si="5"/>
        <v>f/11.3</v>
      </c>
      <c r="Z7" s="1" t="s">
        <v>49</v>
      </c>
      <c r="AA7" s="1" t="s">
        <v>44</v>
      </c>
      <c r="AB7" s="1">
        <v>100</v>
      </c>
      <c r="AC7" s="1" t="s">
        <v>46</v>
      </c>
      <c r="AD7" s="1">
        <f t="shared" si="6"/>
        <v>3.9840637450199199</v>
      </c>
      <c r="AE7" s="1">
        <v>25.1</v>
      </c>
      <c r="AF7" s="1" t="str">
        <f t="shared" si="7"/>
        <v>f/10.4</v>
      </c>
    </row>
    <row r="8" spans="2:32" ht="28" x14ac:dyDescent="0.3">
      <c r="B8" s="1" t="s">
        <v>78</v>
      </c>
      <c r="C8" s="2" t="s">
        <v>52</v>
      </c>
      <c r="D8" s="1" t="s">
        <v>38</v>
      </c>
      <c r="E8" s="1" t="s">
        <v>48</v>
      </c>
      <c r="F8" s="1" t="s">
        <v>47</v>
      </c>
      <c r="G8" s="1">
        <v>14</v>
      </c>
      <c r="H8" s="1" t="s">
        <v>43</v>
      </c>
      <c r="I8" s="1">
        <f t="shared" si="0"/>
        <v>6.8965517241379315</v>
      </c>
      <c r="J8" s="1">
        <v>2.0299999999999998</v>
      </c>
      <c r="K8" s="1" t="str">
        <f t="shared" si="1"/>
        <v>f/15.2</v>
      </c>
      <c r="L8" s="1" t="s">
        <v>41</v>
      </c>
      <c r="M8" s="1" t="s">
        <v>35</v>
      </c>
      <c r="N8" s="1">
        <v>23</v>
      </c>
      <c r="O8" s="1" t="s">
        <v>42</v>
      </c>
      <c r="P8" s="1">
        <f t="shared" si="2"/>
        <v>2.6436781609195403</v>
      </c>
      <c r="Q8" s="1">
        <v>8.6999999999999993</v>
      </c>
      <c r="R8" s="1" t="str">
        <f t="shared" si="3"/>
        <v>f/4.3</v>
      </c>
      <c r="S8" s="1" t="s">
        <v>7</v>
      </c>
      <c r="T8" s="1" t="s">
        <v>6</v>
      </c>
      <c r="U8" s="1">
        <v>70</v>
      </c>
      <c r="V8" s="1" t="s">
        <v>36</v>
      </c>
      <c r="W8" s="1">
        <f t="shared" si="4"/>
        <v>6.2724014336917566</v>
      </c>
      <c r="X8" s="1">
        <v>11.16</v>
      </c>
      <c r="Y8" s="1" t="str">
        <f t="shared" si="5"/>
        <v>f/11.3</v>
      </c>
      <c r="Z8" s="1" t="s">
        <v>49</v>
      </c>
      <c r="AA8" s="1" t="s">
        <v>44</v>
      </c>
      <c r="AB8" s="1">
        <v>100</v>
      </c>
      <c r="AC8" s="1" t="s">
        <v>46</v>
      </c>
      <c r="AD8" s="1">
        <f t="shared" si="6"/>
        <v>3.9840637450199199</v>
      </c>
      <c r="AE8" s="1">
        <v>25.1</v>
      </c>
      <c r="AF8" s="1" t="str">
        <f t="shared" si="7"/>
        <v>f/10.4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小米机型</vt:lpstr>
      <vt:lpstr>VIVO机型</vt:lpstr>
      <vt:lpstr>OPPO机型</vt:lpstr>
      <vt:lpstr>苹果机型</vt:lpstr>
      <vt:lpstr>三星机型</vt:lpstr>
      <vt:lpstr>华为机型</vt:lpstr>
      <vt:lpstr>荣耀机型</vt:lpstr>
      <vt:lpstr>努比亚机型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 Liu</cp:lastModifiedBy>
  <dcterms:created xsi:type="dcterms:W3CDTF">2015-06-05T18:19:34Z</dcterms:created>
  <dcterms:modified xsi:type="dcterms:W3CDTF">2025-05-25T14:38:04Z</dcterms:modified>
</cp:coreProperties>
</file>